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Calculator" sheetId="2" state="visible" r:id="rId4"/>
    <sheet name="Template" sheetId="3" state="visible" r:id="rId5"/>
    <sheet name="Parameters" sheetId="4" state="visible" r:id="rId6"/>
    <sheet name="Rates" sheetId="5" state="visible" r:id="rId7"/>
    <sheet name="Calibration" sheetId="6" state="visible" r:id="rId8"/>
  </sheets>
  <definedNames>
    <definedName function="false" hidden="false" name="LaborCost" vbProcedure="false">Rates!$C$11</definedName>
    <definedName function="false" hidden="false" name="MarkupCodes" vbProcedure="false">Rates!$A$4:$A$9</definedName>
    <definedName function="false" hidden="false" name="MarkupVals" vbProcedure="false">Rates!$C$4:$C$9</definedName>
    <definedName function="false" hidden="false" name="p_Bath_Circuits_Added" vbProcedure="false">Calculator!$B$18</definedName>
    <definedName function="false" hidden="false" name="p_Bath_Contingency_Rate" vbProcedure="false">Calculator!$B$27</definedName>
    <definedName function="false" hidden="false" name="p_Bath_Dumpster_Loads" vbProcedure="false">Calculator!$B$25</definedName>
    <definedName function="false" hidden="false" name="p_Bath_Exhaust_Fan" vbProcedure="false">Calculator!$B$15</definedName>
    <definedName function="false" hidden="false" name="p_Bath_Fixtures_Relocated" vbProcedure="false">Calculator!$B$10</definedName>
    <definedName function="false" hidden="false" name="p_Bath_Fixtures_Replaced" vbProcedure="false">Calculator!$B$9</definedName>
    <definedName function="false" hidden="false" name="p_Bath_Floor_Area" vbProcedure="false">Calculator!$B$5</definedName>
    <definedName function="false" hidden="false" name="p_Bath_Full_Gut" vbProcedure="false">Calculator!$B$6</definedName>
    <definedName function="false" hidden="false" name="p_Bath_Grab_Bars" vbProcedure="false">Calculator!$B$23</definedName>
    <definedName function="false" hidden="false" name="p_Bath_HVAC_Work" vbProcedure="false">Calculator!$B$24</definedName>
    <definedName function="false" hidden="false" name="p_Bath_Interior_Doors" vbProcedure="false">Calculator!$B$21</definedName>
    <definedName function="false" hidden="false" name="p_Bath_Light_Fixtures" vbProcedure="false">Calculator!$B$16</definedName>
    <definedName function="false" hidden="false" name="p_Bath_New_Flooring_Area" vbProcedure="false">Calculator!$B$14</definedName>
    <definedName function="false" hidden="false" name="p_Bath_Pocket_Doors" vbProcedure="false">Calculator!$B$22</definedName>
    <definedName function="false" hidden="false" name="p_Bath_Recessed_Lights" vbProcedure="false">Calculator!$B$17</definedName>
    <definedName function="false" hidden="false" name="p_Bath_Subfloor_Repair_Area" vbProcedure="false">Calculator!$B$20</definedName>
    <definedName function="false" hidden="false" name="p_Bath_Toilets" vbProcedure="false">Calculator!$B$13</definedName>
    <definedName function="false" hidden="false" name="p_Bath_Travel_Hours" vbProcedure="false">Calculator!$B$26</definedName>
    <definedName function="false" hidden="false" name="p_Bath_Tub_Shower_Combo" vbProcedure="false">Calculator!$B$8</definedName>
    <definedName function="false" hidden="false" name="p_Bath_Vanity_Length" vbProcedure="false">Calculator!$B$11</definedName>
    <definedName function="false" hidden="false" name="p_Bath_Vanity_Sinks" vbProcedure="false">Calculator!$B$12</definedName>
    <definedName function="false" hidden="false" name="p_Bath_Walk_In_Shower" vbProcedure="false">Calculator!$B$7</definedName>
    <definedName function="false" hidden="false" name="p_Bath_Walls_Moved" vbProcedure="false">Calculator!$B$19</definedName>
    <definedName function="false" hidden="false" name="RangePct" vbProcedure="false">Rates!$C$14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<sst xmlns="http://schemas.openxmlformats.org/spreadsheetml/2006/main" count="844" uniqueCount="379">
  <si>
    <t xml:space="preserve">Bathroom Ballpark Template — DRAFT for review</t>
  </si>
  <si>
    <t xml:space="preserve">Deitemeyer Brothers · General Construction · drafted 27 Sep 2026 · decisions applied 28 Sep 2026</t>
  </si>
  <si>
    <t xml:space="preserve">What this is</t>
  </si>
  <si>
    <t xml:space="preserve">The build sheet for a formula-driven bathroom ballpark in JobTread, plus a working calculator so the numbers can be checked before anything is built.</t>
  </si>
  <si>
    <t xml:space="preserve">It prices one bathroom at three finish levels (Good / Better / Best) from 22 site-visit measurements, using DB's own catalog rates and markup.</t>
  </si>
  <si>
    <t xml:space="preserve">How to use it</t>
  </si>
  <si>
    <t xml:space="preserve">1. Calculator tab: type the site-visit numbers into the yellow cells. The three totals and ±15% ranges update.</t>
  </si>
  <si>
    <t xml:space="preserve">2. Template tab: every JobTread line, its cost group, cost code, unit, the exact quantity formula to paste into JobTread, and unit cost and price per tier.</t>
  </si>
  <si>
    <t xml:space="preserve">3. Parameters tab: the 22 site-visit parameters plus the contingency rate, which the estimator sets. Names must match exactly, including spaces and capitals.</t>
  </si>
  <si>
    <t xml:space="preserve">4. Rates tab: the markup by cost type. Change a rate there and every price follows.</t>
  </si>
  <si>
    <t xml:space="preserve">5. Calibration tab: how the template compares with 17 bathroom estimates DB sent between Jan and Sep 2026.</t>
  </si>
  <si>
    <t xml:space="preserve">Legend</t>
  </si>
  <si>
    <t xml:space="preserve">Yellow fill, blue text: an input you can change.</t>
  </si>
  <si>
    <t xml:space="preserve">Black text: a formula. Do not overwrite.</t>
  </si>
  <si>
    <t xml:space="preserve">Grey text: notes and sources.</t>
  </si>
  <si>
    <t xml:space="preserve">How accurate it is (in-sample, 17 estimates)</t>
  </si>
  <si>
    <t xml:space="preserve">Structure (labor, rough-in, demo, drywall, general requirements): median error 10%, 13 of 17 within 15%, bias +2%.</t>
  </si>
  <si>
    <t xml:space="preserve">Full price: all 17 actual prices fall inside the Good-to-Best band. The tier closest to the real price is within 15% on 15 of 17.</t>
  </si>
  <si>
    <t xml:space="preserve">Guessing one tier for everyone ("Better") is within 15% on only 5 of 17. Always show all three tiers.</t>
  </si>
  <si>
    <t xml:space="preserve">These rates were set from the same 17 estimates, so this is an in-sample check. The real test is the next 10 bathroom jobs: accept for live use when 8 of 10 land within ±15%.</t>
  </si>
  <si>
    <t xml:space="preserve">Decided 28 Sep 2026</t>
  </si>
  <si>
    <t xml:space="preserve">Contingency is its own line on each tier: 5% when everything stays in place, 8% when a fixture or wall moves. The estimator sets the Bath Contingency Rate. The calibration compares prices before contingency, because DB's past estimates carried none.</t>
  </si>
  <si>
    <t xml:space="preserve">Allowances are stated as customer prices (JobTread allowance type: price). No total changes; an overage or a credit is simply the difference in price.</t>
  </si>
  <si>
    <t xml:space="preserve">Products per tier: the estimator and the designer name one product per Good / Better / Best cell and lock the grid for six months (draft in the proposal, §9).</t>
  </si>
  <si>
    <t xml:space="preserve">Still open: the permit amount. Drafted at $100 cost; DB's estimates ranged $29–$435 by city.</t>
  </si>
  <si>
    <t xml:space="preserve">Source for every rate: line items of 17 bathroom estimates read from DB's JobTread account (read-only) on 27 Sep 2026. See Calibration tab.</t>
  </si>
  <si>
    <t xml:space="preserve">Bathroom Ballpark Calculator</t>
  </si>
  <si>
    <t xml:space="preserve">Type the site-visit numbers into the yellow cells. Example values below are a typical 60 SF gutted bathroom, not a real customer.</t>
  </si>
  <si>
    <t xml:space="preserve">Site-visit measurement</t>
  </si>
  <si>
    <t xml:space="preserve">Value</t>
  </si>
  <si>
    <t xml:space="preserve">What to enter</t>
  </si>
  <si>
    <t xml:space="preserve">JobTread parameter name</t>
  </si>
  <si>
    <t xml:space="preserve">Ballpark</t>
  </si>
  <si>
    <t xml:space="preserve">Good</t>
  </si>
  <si>
    <t xml:space="preserve">Better</t>
  </si>
  <si>
    <t xml:space="preserve">Best</t>
  </si>
  <si>
    <t xml:space="preserve">Bath Floor Area</t>
  </si>
  <si>
    <t xml:space="preserve">Floor area of the bathroom in SF, wall to wall</t>
  </si>
  <si>
    <t xml:space="preserve">{Bath Floor Area}</t>
  </si>
  <si>
    <t xml:space="preserve">Phase 1 - General Requirements</t>
  </si>
  <si>
    <t xml:space="preserve">Bath Full Gut</t>
  </si>
  <si>
    <t xml:space="preserve">1 = whole room to studs; 0 = shower/tub area only</t>
  </si>
  <si>
    <t xml:space="preserve">{Bath Full Gut}</t>
  </si>
  <si>
    <t xml:space="preserve">Phase 2 - Rough-In</t>
  </si>
  <si>
    <t xml:space="preserve">Bath Walk-In Shower</t>
  </si>
  <si>
    <t xml:space="preserve">1 = new walk-in shower system (includes tub-to-shower); else 0</t>
  </si>
  <si>
    <t xml:space="preserve">{Bath Walk-In Shower}</t>
  </si>
  <si>
    <t xml:space="preserve">Phase 3 - Interior</t>
  </si>
  <si>
    <t xml:space="preserve">Bath Tub Shower Combo</t>
  </si>
  <si>
    <t xml:space="preserve">1 = new tub with shower surround; else 0</t>
  </si>
  <si>
    <t xml:space="preserve">{Bath Tub Shower Combo}</t>
  </si>
  <si>
    <t xml:space="preserve">Phase 4 - Finishes</t>
  </si>
  <si>
    <t xml:space="preserve">Bath Fixtures Replaced</t>
  </si>
  <si>
    <t xml:space="preserve">Count of plumbing fixtures replaced in the same spot (shower valve, each sink, toilet)</t>
  </si>
  <si>
    <t xml:space="preserve">{Bath Fixtures Replaced}</t>
  </si>
  <si>
    <t xml:space="preserve">Finish selections (tier)</t>
  </si>
  <si>
    <t xml:space="preserve">Bath Fixtures Relocated</t>
  </si>
  <si>
    <t xml:space="preserve">Count of fixtures moving to a new location (drain or supply moves)</t>
  </si>
  <si>
    <t xml:space="preserve">{Bath Fixtures Relocated}</t>
  </si>
  <si>
    <t xml:space="preserve">Contingency (the Bath Contingency Rate)</t>
  </si>
  <si>
    <t xml:space="preserve">Bath Vanity Length</t>
  </si>
  <si>
    <t xml:space="preserve">Vanity width in feet (0 if keeping the vanity)</t>
  </si>
  <si>
    <t xml:space="preserve">{Bath Vanity Length}</t>
  </si>
  <si>
    <t xml:space="preserve">Ballpark total</t>
  </si>
  <si>
    <t xml:space="preserve">Bath Vanity Sinks</t>
  </si>
  <si>
    <t xml:space="preserve">Number of sinks in the new vanity</t>
  </si>
  <si>
    <t xml:space="preserve">{Bath Vanity Sinks}</t>
  </si>
  <si>
    <t xml:space="preserve">Check: equals Template total</t>
  </si>
  <si>
    <t xml:space="preserve">Bath Toilets</t>
  </si>
  <si>
    <t xml:space="preserve">New toilets (0 if resetting the existing one)</t>
  </si>
  <si>
    <t xml:space="preserve">{Bath Toilets}</t>
  </si>
  <si>
    <t xml:space="preserve">Bath New Flooring Area</t>
  </si>
  <si>
    <t xml:space="preserve">SF of new flooring, including any beyond the bathroom</t>
  </si>
  <si>
    <t xml:space="preserve">{Bath New Flooring Area}</t>
  </si>
  <si>
    <t xml:space="preserve">Budget range shown to customer</t>
  </si>
  <si>
    <t xml:space="preserve">Bath Exhaust Fan</t>
  </si>
  <si>
    <t xml:space="preserve">1 = new or replaced fan with venting</t>
  </si>
  <si>
    <t xml:space="preserve">{Bath Exhaust Fan}</t>
  </si>
  <si>
    <t xml:space="preserve">Low</t>
  </si>
  <si>
    <t xml:space="preserve">Bath Light Fixtures</t>
  </si>
  <si>
    <t xml:space="preserve">Vanity lights or ceiling fixtures being replaced</t>
  </si>
  <si>
    <t xml:space="preserve">{Bath Light Fixtures}</t>
  </si>
  <si>
    <t xml:space="preserve">High</t>
  </si>
  <si>
    <t xml:space="preserve">Bath Recessed Lights</t>
  </si>
  <si>
    <t xml:space="preserve">New recessed can lights</t>
  </si>
  <si>
    <t xml:space="preserve">{Bath Recessed Lights}</t>
  </si>
  <si>
    <t xml:space="preserve">Bath Circuits Added</t>
  </si>
  <si>
    <t xml:space="preserve">New circuits, GFCI runs or outlets needing new wire</t>
  </si>
  <si>
    <t xml:space="preserve">{Bath Circuits Added}</t>
  </si>
  <si>
    <t xml:space="preserve">Totals exclude sales tax and the design agreement fee.</t>
  </si>
  <si>
    <t xml:space="preserve">Bath Walls Moved</t>
  </si>
  <si>
    <t xml:space="preserve">Walls framed, removed or moved (count)</t>
  </si>
  <si>
    <t xml:space="preserve">{Bath Walls Moved}</t>
  </si>
  <si>
    <t xml:space="preserve">The ± band is set on the Rates tab.</t>
  </si>
  <si>
    <t xml:space="preserve">Bath Subfloor Repair Area</t>
  </si>
  <si>
    <t xml:space="preserve">SF of subfloor or joist repair observed</t>
  </si>
  <si>
    <t xml:space="preserve">{Bath Subfloor Repair Area}</t>
  </si>
  <si>
    <t xml:space="preserve">Bath Interior Doors</t>
  </si>
  <si>
    <t xml:space="preserve">Swing doors replaced</t>
  </si>
  <si>
    <t xml:space="preserve">{Bath Interior Doors}</t>
  </si>
  <si>
    <t xml:space="preserve">Bath Pocket Doors</t>
  </si>
  <si>
    <t xml:space="preserve">Pocket doors added</t>
  </si>
  <si>
    <t xml:space="preserve">{Bath Pocket Doors}</t>
  </si>
  <si>
    <t xml:space="preserve">Bath Grab Bars</t>
  </si>
  <si>
    <t xml:space="preserve">Grab bars</t>
  </si>
  <si>
    <t xml:space="preserve">{Bath Grab Bars}</t>
  </si>
  <si>
    <t xml:space="preserve">Bath HVAC Work</t>
  </si>
  <si>
    <t xml:space="preserve">1 = register move or duct extension</t>
  </si>
  <si>
    <t xml:space="preserve">{Bath HVAC Work}</t>
  </si>
  <si>
    <t xml:space="preserve">Bath Dumpster Loads</t>
  </si>
  <si>
    <t xml:space="preserve">Haul-away loads (1 for most baths)</t>
  </si>
  <si>
    <t xml:space="preserve">{Bath Dumpster Loads}</t>
  </si>
  <si>
    <t xml:space="preserve">Bath Travel Hours</t>
  </si>
  <si>
    <t xml:space="preserve">Crew travel hours for jobs past the standard service zone</t>
  </si>
  <si>
    <t xml:space="preserve">{Bath Travel Hours}</t>
  </si>
  <si>
    <t xml:space="preserve">Bath Contingency Rate</t>
  </si>
  <si>
    <t xml:space="preserve">Contingency as a % of the tier total, set by the estimator: 5 when everything stays in place, 8 when a fixture or wall moves</t>
  </si>
  <si>
    <t xml:space="preserve">{Bath Contingency Rate}</t>
  </si>
  <si>
    <t xml:space="preserve">JobTread build sheet: cost group "BALLPARK — Bathroom"</t>
  </si>
  <si>
    <t xml:space="preserve">One row per JobTread line. Paste the quantity formula exactly as written into the catalog item. Rows marked [each tier] become one item in each of the Good, Better and Best option groups, at that tier's cost. Rows marked with a single tier go only in that option. All other rows are common scope.</t>
  </si>
  <si>
    <t xml:space="preserve">#</t>
  </si>
  <si>
    <t xml:space="preserve">JobTread cost group path</t>
  </si>
  <si>
    <t xml:space="preserve">Line item</t>
  </si>
  <si>
    <t xml:space="preserve">Cost code</t>
  </si>
  <si>
    <t xml:space="preserve">Unit</t>
  </si>
  <si>
    <t xml:space="preserve">JobTread quantity formula</t>
  </si>
  <si>
    <t xml:space="preserve">Qty (live)</t>
  </si>
  <si>
    <t xml:space="preserve">Good cost</t>
  </si>
  <si>
    <t xml:space="preserve">Good type</t>
  </si>
  <si>
    <t xml:space="preserve">Good unit price</t>
  </si>
  <si>
    <t xml:space="preserve">Good total</t>
  </si>
  <si>
    <t xml:space="preserve">Better cost</t>
  </si>
  <si>
    <t xml:space="preserve">Better type</t>
  </si>
  <si>
    <t xml:space="preserve">Better unit price</t>
  </si>
  <si>
    <t xml:space="preserve">Better total</t>
  </si>
  <si>
    <t xml:space="preserve">Best cost</t>
  </si>
  <si>
    <t xml:space="preserve">Best type</t>
  </si>
  <si>
    <t xml:space="preserve">Best unit price</t>
  </si>
  <si>
    <t xml:space="preserve">Best total</t>
  </si>
  <si>
    <t xml:space="preserve">Allowance type</t>
  </si>
  <si>
    <t xml:space="preserve">Note</t>
  </si>
  <si>
    <t xml:space="preserve">BALLPARK — Bathroom &gt; Phase 1 - General Requirements &gt; Permits</t>
  </si>
  <si>
    <t xml:space="preserve">Permit</t>
  </si>
  <si>
    <t xml:space="preserve">General Requirements</t>
  </si>
  <si>
    <t xml:space="preserve">Lump Sum</t>
  </si>
  <si>
    <t xml:space="preserve">1</t>
  </si>
  <si>
    <t xml:space="preserve">O</t>
  </si>
  <si>
    <t xml:space="preserve">City permits in the 17 estimates ran $29–$435. Adjust per city.</t>
  </si>
  <si>
    <t xml:space="preserve">BALLPARK — Bathroom &gt; Phase 1 - General Requirements &gt; Project/Site Management</t>
  </si>
  <si>
    <t xml:space="preserve">Project Management (C)</t>
  </si>
  <si>
    <t xml:space="preserve">Project Management</t>
  </si>
  <si>
    <t xml:space="preserve">Hours</t>
  </si>
  <si>
    <t xml:space="preserve">4 + 2*{Bath Full Gut}</t>
  </si>
  <si>
    <t xml:space="preserve">L</t>
  </si>
  <si>
    <t xml:space="preserve">BALLPARK — Bathroom &gt; Phase 1 - General Requirements &gt; Site Preparation</t>
  </si>
  <si>
    <t xml:space="preserve">Site Prep Material</t>
  </si>
  <si>
    <t xml:space="preserve">Site Construction</t>
  </si>
  <si>
    <t xml:space="preserve">Each</t>
  </si>
  <si>
    <t xml:space="preserve">M</t>
  </si>
  <si>
    <t xml:space="preserve">Site Prep Labor</t>
  </si>
  <si>
    <t xml:space="preserve">Site Prep/Clean Up</t>
  </si>
  <si>
    <t xml:space="preserve">2</t>
  </si>
  <si>
    <t xml:space="preserve">BALLPARK — Bathroom &gt; Phase 1 - General Requirements &gt; Demolition</t>
  </si>
  <si>
    <t xml:space="preserve">Demolition</t>
  </si>
  <si>
    <t xml:space="preserve">6 + 10*{Bath Full Gut}</t>
  </si>
  <si>
    <t xml:space="preserve">BALLPARK — Bathroom &gt; Phase 1 - General Requirements &gt; Site Clean Up</t>
  </si>
  <si>
    <t xml:space="preserve">Hauling &amp; Disposal</t>
  </si>
  <si>
    <t xml:space="preserve">Hauling &amp; Disposal (Direct)</t>
  </si>
  <si>
    <t xml:space="preserve">Uses DB's existing catalog item: $250 cost / $450 price per load.</t>
  </si>
  <si>
    <t xml:space="preserve">Final Clean</t>
  </si>
  <si>
    <t xml:space="preserve">2 + {Bath Full Gut}</t>
  </si>
  <si>
    <t xml:space="preserve">BALLPARK — Bathroom &gt; Phase 1 - General Requirements &gt; Travel</t>
  </si>
  <si>
    <t xml:space="preserve">Travel</t>
  </si>
  <si>
    <t xml:space="preserve">Only for jobs past the standard service zone. One estimate carried 30 h.</t>
  </si>
  <si>
    <t xml:space="preserve">BALLPARK — Bathroom &gt; Phase 2 - Rough-In &gt; Framing Materials</t>
  </si>
  <si>
    <t xml:space="preserve">Framing/Sheathing Materials</t>
  </si>
  <si>
    <t xml:space="preserve">Woods &amp; Plastics</t>
  </si>
  <si>
    <t xml:space="preserve">{Bath Walk-In Shower} + 2*{Bath Walls Moved} + ceil({Bath Subfloor Repair Area}/32)</t>
  </si>
  <si>
    <t xml:space="preserve">Framing/Sheathing Labor</t>
  </si>
  <si>
    <t xml:space="preserve">Framing/Sheeting</t>
  </si>
  <si>
    <t xml:space="preserve">4*{Bath Walk-In Shower} + 6*{Bath Walls Moved} + ceil({Bath Subfloor Repair Area}/8)</t>
  </si>
  <si>
    <t xml:space="preserve">BALLPARK — Bathroom &gt; Phase 2 - Rough-In &gt; Plumbing - Rough-In</t>
  </si>
  <si>
    <t xml:space="preserve">Plumbing Materials</t>
  </si>
  <si>
    <t xml:space="preserve">Mechanical (Plumbing &amp; HVAC)</t>
  </si>
  <si>
    <t xml:space="preserve">1 + {Bath Fixtures Replaced} + 5*{Bath Fixtures Relocated}</t>
  </si>
  <si>
    <t xml:space="preserve">Relocations add $500 cost each (drain/supply moves).</t>
  </si>
  <si>
    <t xml:space="preserve">Plumbing Labor</t>
  </si>
  <si>
    <t xml:space="preserve">3 + round(2.5*{Bath Fixtures Replaced}) + 4*{Bath Fixtures Relocated}</t>
  </si>
  <si>
    <t xml:space="preserve">HVAC Materials</t>
  </si>
  <si>
    <t xml:space="preserve">HVAC Labor</t>
  </si>
  <si>
    <t xml:space="preserve">2*{Bath HVAC Work}</t>
  </si>
  <si>
    <t xml:space="preserve">BALLPARK — Bathroom &gt; Phase 2 - Rough-In &gt; Electrical - Rough-In</t>
  </si>
  <si>
    <t xml:space="preserve">Electrical Materials</t>
  </si>
  <si>
    <t xml:space="preserve">Electrical</t>
  </si>
  <si>
    <t xml:space="preserve">1 + {Bath Circuits Added} + 0.5*{Bath Recessed Lights}</t>
  </si>
  <si>
    <t xml:space="preserve">Electrical Labor</t>
  </si>
  <si>
    <t xml:space="preserve">3 + {Bath Light Fixtures} + {Bath Recessed Lights} + 3*{Bath Circuits Added}</t>
  </si>
  <si>
    <t xml:space="preserve">Bathroom Fan Venting</t>
  </si>
  <si>
    <t xml:space="preserve">Bathroom Fan Venting Labor</t>
  </si>
  <si>
    <t xml:space="preserve">3*{Bath Exhaust Fan}</t>
  </si>
  <si>
    <t xml:space="preserve">BALLPARK — Bathroom &gt; Phase 3 - Interior &gt; Drywall</t>
  </si>
  <si>
    <t xml:space="preserve">Drywall Materials</t>
  </si>
  <si>
    <t xml:space="preserve">Finishes</t>
  </si>
  <si>
    <t xml:space="preserve">1 + {Bath Full Gut}</t>
  </si>
  <si>
    <t xml:space="preserve">Drywall Labor</t>
  </si>
  <si>
    <t xml:space="preserve">Drywall</t>
  </si>
  <si>
    <t xml:space="preserve">6 + 4*{Bath Full Gut}</t>
  </si>
  <si>
    <t xml:space="preserve">Does not scale with room size in DB's estimates. Full gut adds 4 h.</t>
  </si>
  <si>
    <t xml:space="preserve">BALLPARK — Bathroom &gt; Phase 3 - Interior &gt; Paint</t>
  </si>
  <si>
    <t xml:space="preserve">Paint Materials</t>
  </si>
  <si>
    <t xml:space="preserve">Paint Labor</t>
  </si>
  <si>
    <t xml:space="preserve">Painting</t>
  </si>
  <si>
    <t xml:space="preserve">3 + 4*{Bath Full Gut}</t>
  </si>
  <si>
    <t xml:space="preserve">Full gut adds 4 h.</t>
  </si>
  <si>
    <t xml:space="preserve">BALLPARK — Bathroom &gt; Phase 3 - Interior &gt; Flooring</t>
  </si>
  <si>
    <t xml:space="preserve">Flooring - Misc. Material</t>
  </si>
  <si>
    <t xml:space="preserve">Square Foot</t>
  </si>
  <si>
    <t xml:space="preserve">BALLPARK — Bathroom &gt; Phase 4 - Finishes &gt; Cabinetry</t>
  </si>
  <si>
    <t xml:space="preserve">Cabinetry Labor</t>
  </si>
  <si>
    <t xml:space="preserve">Cabinetry</t>
  </si>
  <si>
    <t xml:space="preserve">2*ceil({Bath Vanity Length}/100) + {Bath Vanity Length}</t>
  </si>
  <si>
    <t xml:space="preserve">2 h setup plus 1 h per foot of vanity; zero when no vanity.</t>
  </si>
  <si>
    <t xml:space="preserve">Cabinet Knob/Pull</t>
  </si>
  <si>
    <t xml:space="preserve">ceil(1.5*{Bath Vanity Length})</t>
  </si>
  <si>
    <t xml:space="preserve">BALLPARK — Bathroom &gt; Phase 4 - Finishes &gt; Toilet</t>
  </si>
  <si>
    <t xml:space="preserve">Toilet Set Materials (wax, bolts, supply)</t>
  </si>
  <si>
    <t xml:space="preserve">BALLPARK — Bathroom &gt; Phase 4 - Finishes &gt; Interior Doors</t>
  </si>
  <si>
    <t xml:space="preserve">Interior Door</t>
  </si>
  <si>
    <t xml:space="preserve">Doors</t>
  </si>
  <si>
    <t xml:space="preserve">Pocket Door Frame, Door &amp; Handle</t>
  </si>
  <si>
    <t xml:space="preserve">Door Labor</t>
  </si>
  <si>
    <t xml:space="preserve">3*{Bath Interior Doors} + 8*{Bath Pocket Doors}</t>
  </si>
  <si>
    <t xml:space="preserve">BALLPARK — Bathroom &gt; Phase 4 - Finishes &gt; Interior Trims &amp; Finishes</t>
  </si>
  <si>
    <t xml:space="preserve">Trim Materials</t>
  </si>
  <si>
    <t xml:space="preserve">1 + {Bath Interior Doors} + {Bath Pocket Doors} + {Bath Full Gut}*ceil({Bath Floor Area}/30)</t>
  </si>
  <si>
    <t xml:space="preserve">Trim Labor</t>
  </si>
  <si>
    <t xml:space="preserve">Interior Trim/Casing/Paneling</t>
  </si>
  <si>
    <t xml:space="preserve">1 + 3*{Bath Full Gut} + {Bath Interior Doors} + {Bath Pocket Doors}</t>
  </si>
  <si>
    <t xml:space="preserve">BALLPARK — Bathroom &gt; Phase 4 - Finishes &gt; Accessories</t>
  </si>
  <si>
    <t xml:space="preserve">Grab Bar</t>
  </si>
  <si>
    <t xml:space="preserve">Specialites</t>
  </si>
  <si>
    <t xml:space="preserve">Bath Accessory Labor</t>
  </si>
  <si>
    <t xml:space="preserve">Shower/Tub</t>
  </si>
  <si>
    <t xml:space="preserve">2 + {Bath Grab Bars}</t>
  </si>
  <si>
    <t xml:space="preserve">BALLPARK — Bathroom &gt; Finish Level (select one) &gt; [each tier]</t>
  </si>
  <si>
    <t xml:space="preserve">Walk-In Shower System</t>
  </si>
  <si>
    <t xml:space="preserve">S</t>
  </si>
  <si>
    <t xml:space="preserve">Price</t>
  </si>
  <si>
    <t xml:space="preserve">Good = acrylic/fiberglass kit (DB installs, 12 h). Better = Onyx/Al-Co panel system (DB installs, 24 h). Best = subbed tile or large panel system, installed price.</t>
  </si>
  <si>
    <t xml:space="preserve">Shower Glass / Door</t>
  </si>
  <si>
    <t xml:space="preserve">Good = framed bypass. Better = semi-frameless. Best = frameless panels, installed.</t>
  </si>
  <si>
    <t xml:space="preserve">Tub &amp; Surround</t>
  </si>
  <si>
    <t xml:space="preserve">Tub Door</t>
  </si>
  <si>
    <t xml:space="preserve">Shower Valve &amp; Trim Kit</t>
  </si>
  <si>
    <t xml:space="preserve">{Bath Walk-In Shower} + {Bath Tub Shower Combo}</t>
  </si>
  <si>
    <t xml:space="preserve">BALLPARK — Bathroom &gt; Finish Level (select one) &gt; Good</t>
  </si>
  <si>
    <t xml:space="preserve">Shower/Tub Labor — Good</t>
  </si>
  <si>
    <t xml:space="preserve">12*{Bath Walk-In Shower} + 10*{Bath Tub Shower Combo}</t>
  </si>
  <si>
    <t xml:space="preserve">One item per tier. Walk-in: Good 12 h, Better 24 h, Best subbed (0 DB hours). Tub combo 10 h at every tier.</t>
  </si>
  <si>
    <t xml:space="preserve">BALLPARK — Bathroom &gt; Finish Level (select one) &gt; Better</t>
  </si>
  <si>
    <t xml:space="preserve">Shower/Tub Labor — Better</t>
  </si>
  <si>
    <t xml:space="preserve">24*{Bath Walk-In Shower} + 10*{Bath Tub Shower Combo}</t>
  </si>
  <si>
    <t xml:space="preserve">BALLPARK — Bathroom &gt; Finish Level (select one) &gt; Best</t>
  </si>
  <si>
    <t xml:space="preserve">Shower/Tub Labor — Best</t>
  </si>
  <si>
    <t xml:space="preserve">10*{Bath Tub Shower Combo}</t>
  </si>
  <si>
    <t xml:space="preserve">Vanity Cabinet</t>
  </si>
  <si>
    <t xml:space="preserve">Linear Feet</t>
  </si>
  <si>
    <t xml:space="preserve">Per linear foot of vanity. Good = stock, Better = semi-custom, Best = custom.</t>
  </si>
  <si>
    <t xml:space="preserve">Vanity Top</t>
  </si>
  <si>
    <t xml:space="preserve">Per linear foot. Good = cultured marble, Better = quartz, Best = premium quartz/granite.</t>
  </si>
  <si>
    <t xml:space="preserve">Sink &amp; Faucet</t>
  </si>
  <si>
    <t xml:space="preserve">Mirror / Medicine Cabinet</t>
  </si>
  <si>
    <t xml:space="preserve">Toilet</t>
  </si>
  <si>
    <t xml:space="preserve">Flooring Material</t>
  </si>
  <si>
    <t xml:space="preserve">Good/Better = LVP installed by DB crew. Best = tile floor set by the tile sub, installed price per SF.</t>
  </si>
  <si>
    <t xml:space="preserve">Flooring Labor — Good</t>
  </si>
  <si>
    <t xml:space="preserve">Flooring</t>
  </si>
  <si>
    <t xml:space="preserve">ceil({Bath New Flooring Area}/20) + ceil({Bath New Flooring Area}/10000)</t>
  </si>
  <si>
    <t xml:space="preserve">Good and Better only. Best has no DB flooring labor because the tile sub installs.</t>
  </si>
  <si>
    <t xml:space="preserve">Flooring Labor — Better</t>
  </si>
  <si>
    <t xml:space="preserve">Bathroom Fan</t>
  </si>
  <si>
    <t xml:space="preserve">Light Fixture</t>
  </si>
  <si>
    <t xml:space="preserve">Recessed Light</t>
  </si>
  <si>
    <t xml:space="preserve">Bath Accessories</t>
  </si>
  <si>
    <t xml:space="preserve">Contingency — Good</t>
  </si>
  <si>
    <t xml:space="preserve">Contingency</t>
  </si>
  <si>
    <t xml:space="preserve">{Bath Contingency Rate}/100*((1)*145 + (4 + 2*{Bath Full Gut})*100 + (1)*217.5 + (2)*100 + (6 + 10*{Bath Full Gut})*100 + ({Bath Dumpster Loads})*450 + (2 + {Bath Full Gut})*100 + ({Bath Travel Hours})*100 + ({Bath Walk-In Shower} + 2*{Bath Walls Moved} + ceil({Bath Subfloor Repair Area}/32))*145 + (4*{Bath Walk-In Shower} + 6*{Bath Walls Moved} + ceil({Bath Subfloor Repair Area}/8))*100 + (1 + {Bath Fixtures Replaced} + 5*{Bath Fixtures Relocated})*145 + (3 + round(2.5*{Bath Fixtures Replaced}) + 4*{Bath Fixtures Relocated})*100 + ({Bath HVAC Work})*145 + (2*{Bath HVAC Work})*100 + (1 + {Bath Circuits Added} + 0.5*{Bath Recessed Lights})*87 + (3 + {Bath Light Fixtures} + {Bath Recessed Lights} + 3*{Bath Circuits Added})*100 + ({Bath Exhaust Fan})*72.5 + (3*{Bath Exhaust Fan})*100 + (1 + {Bath Full Gut})*116 + (6 + 4*{Bath Full Gut})*100 + (1 + {Bath Full Gut})*174 + (3 + 4*{Bath Full Gut})*100 + ({Bath New Flooring Area})*1.0875 + (2*ceil({Bath Vanity Length}/100) + {Bath Vanity Length})*100 + (ceil(1.5*{Bath Vanity Length}))*14.5 + ({Bath Full Gut})*29 + ({Bath Interior Doors})*580 + ({Bath Pocket Doors})*725 + (3*{Bath Interior Doors} + 8*{Bath Pocket Doors})*100 + (1 + {Bath Interior Doors} + {Bath Pocket Doors} + {Bath Full Gut}*ceil({Bath Floor Area}/30))*58 + (1 + 3*{Bath Full Gut} + {Bath Interior Doors} + {Bath Pocket Doors})*100 + ({Bath Grab Bars})*174 + (2 + {Bath Grab Bars})*100 + ({Bath Walk-In Shower})*2015.5 + ({Bath Walk-In Shower})*696 + ({Bath Tub Shower Combo})*1653 + ({Bath Tub Shower Combo})*500.25 + ({Bath Walk-In Shower} + {Bath Tub Shower Combo})*500.25 + (12*{Bath Walk-In Shower} + 10*{Bath Tub Shower Combo})*100 + ({Bath Vanity Length})*290 + ({Bath Vanity Length})*145 + ({Bath Vanity Sinks})*304.5 + ({Bath Vanity Sinks})*217.5 + ({Bath Toilets})*348 + ({Bath New Flooring Area})*5.8 + (ceil({Bath New Flooring Area}/20) + ceil({Bath New Flooring Area}/10000))*100 + ({Bath Exhaust Fan})*217.5 + ({Bath Light Fixtures})*87 + ({Bath Recessed Lights})*36.25 + (1)*145)</t>
  </si>
  <si>
    <t xml:space="preserve">C</t>
  </si>
  <si>
    <t xml:space="preserve">Contingency: the rate times this tier's whole price before contingency. JobTread formulas cannot reference other lines, so the subtotal is spelled out; regenerate this formula (run the build script) after any rate change. Unit price $1.00, cost type Other with markup 0, cost code Contingency.</t>
  </si>
  <si>
    <t xml:space="preserve">Contingency — Better</t>
  </si>
  <si>
    <t xml:space="preserve">{Bath Contingency Rate}/100*((1)*145 + (4 + 2*{Bath Full Gut})*100 + (1)*217.5 + (2)*100 + (6 + 10*{Bath Full Gut})*100 + ({Bath Dumpster Loads})*450 + (2 + {Bath Full Gut})*100 + ({Bath Travel Hours})*100 + ({Bath Walk-In Shower} + 2*{Bath Walls Moved} + ceil({Bath Subfloor Repair Area}/32))*145 + (4*{Bath Walk-In Shower} + 6*{Bath Walls Moved} + ceil({Bath Subfloor Repair Area}/8))*100 + (1 + {Bath Fixtures Replaced} + 5*{Bath Fixtures Relocated})*145 + (3 + round(2.5*{Bath Fixtures Replaced}) + 4*{Bath Fixtures Relocated})*100 + ({Bath HVAC Work})*145 + (2*{Bath HVAC Work})*100 + (1 + {Bath Circuits Added} + 0.5*{Bath Recessed Lights})*87 + (3 + {Bath Light Fixtures} + {Bath Recessed Lights} + 3*{Bath Circuits Added})*100 + ({Bath Exhaust Fan})*72.5 + (3*{Bath Exhaust Fan})*100 + (1 + {Bath Full Gut})*116 + (6 + 4*{Bath Full Gut})*100 + (1 + {Bath Full Gut})*174 + (3 + 4*{Bath Full Gut})*100 + ({Bath New Flooring Area})*1.0875 + (2*ceil({Bath Vanity Length}/100) + {Bath Vanity Length})*100 + (ceil(1.5*{Bath Vanity Length}))*14.5 + ({Bath Full Gut})*29 + ({Bath Interior Doors})*580 + ({Bath Pocket Doors})*725 + (3*{Bath Interior Doors} + 8*{Bath Pocket Doors})*100 + (1 + {Bath Interior Doors} + {Bath Pocket Doors} + {Bath Full Gut}*ceil({Bath Floor Area}/30))*58 + (1 + 3*{Bath Full Gut} + {Bath Interior Doors} + {Bath Pocket Doors})*100 + ({Bath Grab Bars})*174 + (2 + {Bath Grab Bars})*100 + ({Bath Walk-In Shower})*4901 + ({Bath Walk-In Shower})*2697 + ({Bath Tub Shower Combo})*2501.25 + ({Bath Tub Shower Combo})*1102 + ({Bath Walk-In Shower} + {Bath Tub Shower Combo})*899 + (24*{Bath Walk-In Shower} + 10*{Bath Tub Shower Combo})*100 + ({Bath Vanity Length})*652.5 + ({Bath Vanity Length})*290 + ({Bath Vanity Sinks})*551 + ({Bath Vanity Sinks})*406 + ({Bath Toilets})*500.25 + ({Bath New Flooring Area})*7.25 + (ceil({Bath New Flooring Area}/20) + ceil({Bath New Flooring Area}/10000))*100 + ({Bath Exhaust Fan})*333.5 + ({Bath Light Fixtures})*203 + ({Bath Recessed Lights})*50.75 + (1)*435)</t>
  </si>
  <si>
    <t xml:space="preserve">Contingency — Best</t>
  </si>
  <si>
    <t xml:space="preserve">{Bath Contingency Rate}/100*((1)*145 + (4 + 2*{Bath Full Gut})*100 + (1)*217.5 + (2)*100 + (6 + 10*{Bath Full Gut})*100 + ({Bath Dumpster Loads})*450 + (2 + {Bath Full Gut})*100 + ({Bath Travel Hours})*100 + ({Bath Walk-In Shower} + 2*{Bath Walls Moved} + ceil({Bath Subfloor Repair Area}/32))*145 + (4*{Bath Walk-In Shower} + 6*{Bath Walls Moved} + ceil({Bath Subfloor Repair Area}/8))*100 + (1 + {Bath Fixtures Replaced} + 5*{Bath Fixtures Relocated})*145 + (3 + round(2.5*{Bath Fixtures Replaced}) + 4*{Bath Fixtures Relocated})*100 + ({Bath HVAC Work})*145 + (2*{Bath HVAC Work})*100 + (1 + {Bath Circuits Added} + 0.5*{Bath Recessed Lights})*87 + (3 + {Bath Light Fixtures} + {Bath Recessed Lights} + 3*{Bath Circuits Added})*100 + ({Bath Exhaust Fan})*72.5 + (3*{Bath Exhaust Fan})*100 + (1 + {Bath Full Gut})*116 + (6 + 4*{Bath Full Gut})*100 + (1 + {Bath Full Gut})*174 + (3 + 4*{Bath Full Gut})*100 + ({Bath New Flooring Area})*1.0875 + (2*ceil({Bath Vanity Length}/100) + {Bath Vanity Length})*100 + (ceil(1.5*{Bath Vanity Length}))*14.5 + ({Bath Full Gut})*29 + ({Bath Interior Doors})*580 + ({Bath Pocket Doors})*725 + (3*{Bath Interior Doors} + 8*{Bath Pocket Doors})*100 + (1 + {Bath Interior Doors} + {Bath Pocket Doors} + {Bath Full Gut}*ceil({Bath Floor Area}/30))*58 + (1 + 3*{Bath Full Gut} + {Bath Interior Doors} + {Bath Pocket Doors})*100 + ({Bath Grab Bars})*174 + (2 + {Bath Grab Bars})*100 + ({Bath Walk-In Shower})*11440 + ({Bath Walk-In Shower})*4004 + ({Bath Tub Shower Combo})*4002 + ({Bath Tub Shower Combo})*1595 + ({Bath Walk-In Shower} + {Bath Tub Shower Combo})*1450 + (10*{Bath Tub Shower Combo})*100 + ({Bath Vanity Length})*1377.5 + ({Bath Vanity Length})*652.5 + ({Bath Vanity Sinks})*1000.5 + ({Bath Vanity Sinks})*870 + ({Bath Toilets})*899 + ({Bath New Flooring Area})*19.5 + ({Bath Exhaust Fan})*609 + ({Bath Light Fixtures})*435 + ({Bath Recessed Lights})*87 + (1)*899)</t>
  </si>
  <si>
    <t xml:space="preserve">TOTAL</t>
  </si>
  <si>
    <t xml:space="preserve">JobTread job parameters used by the formulas</t>
  </si>
  <si>
    <t xml:space="preserve">Verified 27 Sep 2026: formula variables are job parameters (job.parameters), the same mechanism DB's roofing formulas use. Names must match exactly. Every name starts with 'Bath ' so a job carrying more than one ballpark template never shares a parameter between rooms.</t>
  </si>
  <si>
    <t xml:space="preserve">JobTread parameter</t>
  </si>
  <si>
    <t xml:space="preserve">Type</t>
  </si>
  <si>
    <t xml:space="preserve">Default</t>
  </si>
  <si>
    <t xml:space="preserve">How to measure / count</t>
  </si>
  <si>
    <t xml:space="preserve">Used by (line items)</t>
  </si>
  <si>
    <t xml:space="preserve">Number</t>
  </si>
  <si>
    <t xml:space="preserve">Demolition, Drywall Labor, Drywall Materials, Final Clean, Paint Labor, Paint Materials, Project Management (C), Toilet Set Materials (wax, bolts, supply), Trim Labor, Trim Materials</t>
  </si>
  <si>
    <t xml:space="preserve">Framing/Sheathing Labor, Framing/Sheathing Materials, Shower Glass / Door, Shower Valve &amp; Trim Kit, Shower/Tub Labor, Walk-In Shower System</t>
  </si>
  <si>
    <t xml:space="preserve">Shower Valve &amp; Trim Kit, Shower/Tub Labor, Tub &amp; Surround, Tub Door</t>
  </si>
  <si>
    <t xml:space="preserve">Plumbing Labor, Plumbing Materials</t>
  </si>
  <si>
    <t xml:space="preserve">Cabinet Knob/Pull, Cabinetry Labor, Vanity Cabinet, Vanity Top</t>
  </si>
  <si>
    <t xml:space="preserve">Mirror / Medicine Cabinet, Sink &amp; Faucet</t>
  </si>
  <si>
    <t xml:space="preserve">Flooring - Misc. Material, Flooring Labor, Flooring Material</t>
  </si>
  <si>
    <t xml:space="preserve">Bathroom Fan, Bathroom Fan Venting, Bathroom Fan Venting Labor</t>
  </si>
  <si>
    <t xml:space="preserve">Electrical Labor, Light Fixture</t>
  </si>
  <si>
    <t xml:space="preserve">Electrical Labor, Electrical Materials, Recessed Light</t>
  </si>
  <si>
    <t xml:space="preserve">Electrical Labor, Electrical Materials</t>
  </si>
  <si>
    <t xml:space="preserve">Framing/Sheathing Labor, Framing/Sheathing Materials</t>
  </si>
  <si>
    <t xml:space="preserve">Door Labor, Interior Door, Trim Labor, Trim Materials</t>
  </si>
  <si>
    <t xml:space="preserve">Door Labor, Pocket Door Frame, Door &amp; Handle, Trim Labor, Trim Materials</t>
  </si>
  <si>
    <t xml:space="preserve">Bath Accessory Labor, Grab Bar</t>
  </si>
  <si>
    <t xml:space="preserve">HVAC Labor, HVAC Materials</t>
  </si>
  <si>
    <t xml:space="preserve">Markup by cost type</t>
  </si>
  <si>
    <t xml:space="preserve">Cost type code</t>
  </si>
  <si>
    <t xml:space="preserve">Cost type</t>
  </si>
  <si>
    <t xml:space="preserve">Price ÷ cost</t>
  </si>
  <si>
    <t xml:space="preserve">Labor</t>
  </si>
  <si>
    <t xml:space="preserve">DB catalog labor: $55 cost / $100 price per hour (a 45% margin).</t>
  </si>
  <si>
    <t xml:space="preserve">Materials</t>
  </si>
  <si>
    <t xml:space="preserve">DB catalog materials: ×1.45 with zero variance across the catalog (field notes §9).</t>
  </si>
  <si>
    <t xml:space="preserve">Subcontractor</t>
  </si>
  <si>
    <t xml:space="preserve">Countertop, tile and flooring subs in DB's estimates were marked up ×1.30.</t>
  </si>
  <si>
    <t xml:space="preserve">Other</t>
  </si>
  <si>
    <t xml:space="preserve">Permits and misc. fees: ×1.45.</t>
  </si>
  <si>
    <t xml:space="preserve">U</t>
  </si>
  <si>
    <t xml:space="preserve">Labor, per unit</t>
  </si>
  <si>
    <t xml:space="preserve">Labor the catalog prices per square or foot (siding, roofing, gutters). JobTread cost type Labor, marked up ×1.45 like the catalog.</t>
  </si>
  <si>
    <t xml:space="preserve">Its own line, carried at cost so it can be reported and credited. JobTread cost type Other with the markup set to 0, cost code Contingency.</t>
  </si>
  <si>
    <t xml:space="preserve">Labor cost per hour</t>
  </si>
  <si>
    <t xml:space="preserve">Used as the unit cost of every labor line on the Template tab.</t>
  </si>
  <si>
    <t xml:space="preserve">Labor price per hour</t>
  </si>
  <si>
    <t xml:space="preserve">Budget range accuracy (±)</t>
  </si>
  <si>
    <t xml:space="preserve">The range shown to the customer around each tier total. The proposal commits to ±15%.</t>
  </si>
  <si>
    <t xml:space="preserve">Calibration against 17 bathroom estimates DB sent, Jan–Sep 2026</t>
  </si>
  <si>
    <t xml:space="preserve">Actual = the estimate total from JobTread, less any design-fee lines. Intake values were reconstructed from each estimate's own lines; room sizes are estimates where the estimate had no SF line. Model columns are values from the repo's Python model, which mirrors the Template tab.</t>
  </si>
  <si>
    <t xml:space="preserve">Structure = everything except the finish selections (labor, rough-in, demo, drywall, general requirements). It tests the formulas; the selections are the customer's choice.</t>
  </si>
  <si>
    <t xml:space="preserve">Job</t>
  </si>
  <si>
    <t xml:space="preserve">Status</t>
  </si>
  <si>
    <t xml:space="preserve">Actual total</t>
  </si>
  <si>
    <t xml:space="preserve">Model Good</t>
  </si>
  <si>
    <t xml:space="preserve">Model Better</t>
  </si>
  <si>
    <t xml:space="preserve">Model Best</t>
  </si>
  <si>
    <t xml:space="preserve">Inside Good−15% to Best+15%?</t>
  </si>
  <si>
    <t xml:space="preserve">Structure actual</t>
  </si>
  <si>
    <t xml:space="preserve">Structure model</t>
  </si>
  <si>
    <t xml:space="preserve">Structure error</t>
  </si>
  <si>
    <t xml:space="preserve">Absolute error</t>
  </si>
  <si>
    <t xml:space="preserve">Shower tier used</t>
  </si>
  <si>
    <t xml:space="preserve">261049</t>
  </si>
  <si>
    <t xml:space="preserve">approved</t>
  </si>
  <si>
    <t xml:space="preserve">260014</t>
  </si>
  <si>
    <t xml:space="preserve">25-8341</t>
  </si>
  <si>
    <t xml:space="preserve">260036</t>
  </si>
  <si>
    <t xml:space="preserve">261076</t>
  </si>
  <si>
    <t xml:space="preserve">261209</t>
  </si>
  <si>
    <t xml:space="preserve">261277</t>
  </si>
  <si>
    <t xml:space="preserve">260105</t>
  </si>
  <si>
    <t xml:space="preserve">denied</t>
  </si>
  <si>
    <t xml:space="preserve">260192</t>
  </si>
  <si>
    <t xml:space="preserve">pending</t>
  </si>
  <si>
    <t xml:space="preserve">260681</t>
  </si>
  <si>
    <t xml:space="preserve">260877</t>
  </si>
  <si>
    <t xml:space="preserve">260955</t>
  </si>
  <si>
    <t xml:space="preserve">261165</t>
  </si>
  <si>
    <t xml:space="preserve">261280</t>
  </si>
  <si>
    <t xml:space="preserve">261335</t>
  </si>
  <si>
    <t xml:space="preserve">261346</t>
  </si>
  <si>
    <t xml:space="preserve">261396</t>
  </si>
  <si>
    <t xml:space="preserve">Median absolute structure error</t>
  </si>
  <si>
    <t xml:space="preserve">Estimates with structure within ±15%</t>
  </si>
  <si>
    <t xml:space="preserve">Average structure bias</t>
  </si>
  <si>
    <t xml:space="preserve">Actual inside the Good-to-Best band</t>
  </si>
  <si>
    <t xml:space="preserve">Excluded: 258657 (two bathrooms priced as cost-group totals), 258797 (bathroom plus three exterior doors), 260097 (door job tagged as bathroom), 258668 (bedroom remodel tagged as bathroom).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</si>
</sst>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##;\-#,##0.##;\-"/>
    <numFmt numFmtId="166" formatCode="\$#,##0;&quot;($&quot;#,##0\);\-"/>
    <numFmt numFmtId="167" formatCode="\$#,##0.00;&quot;($&quot;#,##0.00\);\-"/>
    <numFmt numFmtId="168" formatCode="0.000"/>
    <numFmt numFmtId="169" formatCode="0%"/>
    <numFmt numFmtId="170" formatCode="\+0%;\-0%;0%"/>
    <numFmt numFmtId="171" formatCode="0.0%"/>
    <numFmt numFmtId="172" formatCode="\+0.0%;\-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23.8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32"/>
    <col collapsed="false" customWidth="true" hidden="false" outlineLevel="0" max="6" min="6" style="0" width="30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5" t="s">
        <v>26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false" outlineLevel="0" collapsed="false">
      <c r="A2" s="7" t="s">
        <v>27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6"/>
      <c r="F4" s="9" t="s">
        <v>32</v>
      </c>
      <c r="G4" s="10" t="s">
        <v>33</v>
      </c>
      <c r="H4" s="10" t="s">
        <v>34</v>
      </c>
      <c r="I4" s="10" t="s">
        <v>35</v>
      </c>
    </row>
    <row r="5" customFormat="false" ht="15" hidden="false" customHeight="false" outlineLevel="0" collapsed="false">
      <c r="A5" s="11" t="s">
        <v>36</v>
      </c>
      <c r="B5" s="12" t="n">
        <v>60</v>
      </c>
      <c r="C5" s="7" t="s">
        <v>37</v>
      </c>
      <c r="D5" s="13" t="s">
        <v>38</v>
      </c>
      <c r="E5" s="6"/>
      <c r="F5" s="11" t="s">
        <v>39</v>
      </c>
      <c r="G5" s="14" t="n">
        <f aca="false">SUMIFS(Template!K5:K37,Template!B5:B37,"*Phase 1 -*")</f>
        <v>3512.5</v>
      </c>
      <c r="H5" s="14" t="n">
        <f aca="false">SUMIFS(Template!O5:O37,Template!B5:B37,"*Phase 1 -*")</f>
        <v>3512.5</v>
      </c>
      <c r="I5" s="14" t="n">
        <f aca="false">SUMIFS(Template!S5:S37,Template!B5:B37,"*Phase 1 -*")</f>
        <v>3512.5</v>
      </c>
    </row>
    <row r="6" customFormat="false" ht="15" hidden="false" customHeight="false" outlineLevel="0" collapsed="false">
      <c r="A6" s="11" t="s">
        <v>40</v>
      </c>
      <c r="B6" s="12" t="n">
        <v>1</v>
      </c>
      <c r="C6" s="7" t="s">
        <v>41</v>
      </c>
      <c r="D6" s="13" t="s">
        <v>42</v>
      </c>
      <c r="E6" s="6"/>
      <c r="F6" s="11" t="s">
        <v>43</v>
      </c>
      <c r="G6" s="14" t="n">
        <f aca="false">SUMIFS(Template!K5:K37,Template!B5:B37,"*Phase 2 -*")</f>
        <v>3471.5</v>
      </c>
      <c r="H6" s="14" t="n">
        <f aca="false">SUMIFS(Template!O5:O37,Template!B5:B37,"*Phase 2 -*")</f>
        <v>3471.5</v>
      </c>
      <c r="I6" s="14" t="n">
        <f aca="false">SUMIFS(Template!S5:S37,Template!B5:B37,"*Phase 2 -*")</f>
        <v>3471.5</v>
      </c>
    </row>
    <row r="7" customFormat="false" ht="15" hidden="false" customHeight="false" outlineLevel="0" collapsed="false">
      <c r="A7" s="11" t="s">
        <v>44</v>
      </c>
      <c r="B7" s="12" t="n">
        <v>1</v>
      </c>
      <c r="C7" s="7" t="s">
        <v>45</v>
      </c>
      <c r="D7" s="13" t="s">
        <v>46</v>
      </c>
      <c r="E7" s="6"/>
      <c r="F7" s="11" t="s">
        <v>47</v>
      </c>
      <c r="G7" s="14" t="n">
        <f aca="false">SUMIFS(Template!K5:K37,Template!B5:B37,"*Phase 3 -*")</f>
        <v>2345.25</v>
      </c>
      <c r="H7" s="14" t="n">
        <f aca="false">SUMIFS(Template!O5:O37,Template!B5:B37,"*Phase 3 -*")</f>
        <v>2345.25</v>
      </c>
      <c r="I7" s="14" t="n">
        <f aca="false">SUMIFS(Template!S5:S37,Template!B5:B37,"*Phase 3 -*")</f>
        <v>2345.25</v>
      </c>
    </row>
    <row r="8" customFormat="false" ht="15" hidden="false" customHeight="false" outlineLevel="0" collapsed="false">
      <c r="A8" s="11" t="s">
        <v>48</v>
      </c>
      <c r="B8" s="12" t="n">
        <v>0</v>
      </c>
      <c r="C8" s="7" t="s">
        <v>49</v>
      </c>
      <c r="D8" s="13" t="s">
        <v>50</v>
      </c>
      <c r="E8" s="6"/>
      <c r="F8" s="11" t="s">
        <v>51</v>
      </c>
      <c r="G8" s="14" t="n">
        <f aca="false">SUMIFS(Template!K5:K37,Template!B5:B37,"*Phase 4 -*")</f>
        <v>1375.5</v>
      </c>
      <c r="H8" s="14" t="n">
        <f aca="false">SUMIFS(Template!O5:O37,Template!B5:B37,"*Phase 4 -*")</f>
        <v>1375.5</v>
      </c>
      <c r="I8" s="14" t="n">
        <f aca="false">SUMIFS(Template!S5:S37,Template!B5:B37,"*Phase 4 -*")</f>
        <v>1375.5</v>
      </c>
    </row>
    <row r="9" customFormat="false" ht="15" hidden="false" customHeight="false" outlineLevel="0" collapsed="false">
      <c r="A9" s="11" t="s">
        <v>52</v>
      </c>
      <c r="B9" s="12" t="n">
        <v>3</v>
      </c>
      <c r="C9" s="7" t="s">
        <v>53</v>
      </c>
      <c r="D9" s="13" t="s">
        <v>54</v>
      </c>
      <c r="E9" s="6"/>
      <c r="F9" s="11" t="s">
        <v>55</v>
      </c>
      <c r="G9" s="14" t="n">
        <f aca="false">SUM(Template!K38:K57)</f>
        <v>7784.25</v>
      </c>
      <c r="H9" s="14" t="n">
        <f aca="false">SUM(Template!O38:O57)</f>
        <v>16988.25</v>
      </c>
      <c r="I9" s="14" t="n">
        <f aca="false">SUM(Template!S38:S57)</f>
        <v>28866.5</v>
      </c>
    </row>
    <row r="10" customFormat="false" ht="15" hidden="false" customHeight="false" outlineLevel="0" collapsed="false">
      <c r="A10" s="11" t="s">
        <v>56</v>
      </c>
      <c r="B10" s="12" t="n">
        <v>0</v>
      </c>
      <c r="C10" s="7" t="s">
        <v>57</v>
      </c>
      <c r="D10" s="13" t="s">
        <v>58</v>
      </c>
      <c r="E10" s="6"/>
      <c r="F10" s="11" t="s">
        <v>59</v>
      </c>
      <c r="G10" s="14" t="n">
        <f aca="false">SUM(Template!K58:K60)</f>
        <v>924.45</v>
      </c>
      <c r="H10" s="14" t="n">
        <f aca="false">SUM(Template!O58:O60)</f>
        <v>1384.65</v>
      </c>
      <c r="I10" s="14" t="n">
        <f aca="false">SUM(Template!S58:S60)</f>
        <v>1978.5625</v>
      </c>
    </row>
    <row r="11" customFormat="false" ht="15" hidden="false" customHeight="false" outlineLevel="0" collapsed="false">
      <c r="A11" s="11" t="s">
        <v>60</v>
      </c>
      <c r="B11" s="12" t="n">
        <v>3</v>
      </c>
      <c r="C11" s="7" t="s">
        <v>61</v>
      </c>
      <c r="D11" s="13" t="s">
        <v>62</v>
      </c>
      <c r="E11" s="6"/>
      <c r="F11" s="15" t="s">
        <v>63</v>
      </c>
      <c r="G11" s="16" t="n">
        <f aca="false">SUM(G5:G10)</f>
        <v>19413.45</v>
      </c>
      <c r="H11" s="16" t="n">
        <f aca="false">SUM(H5:H10)</f>
        <v>29077.65</v>
      </c>
      <c r="I11" s="16" t="n">
        <f aca="false">SUM(I5:I10)</f>
        <v>41549.8125</v>
      </c>
    </row>
    <row r="12" customFormat="false" ht="15" hidden="false" customHeight="false" outlineLevel="0" collapsed="false">
      <c r="A12" s="11" t="s">
        <v>64</v>
      </c>
      <c r="B12" s="12" t="n">
        <v>1</v>
      </c>
      <c r="C12" s="7" t="s">
        <v>65</v>
      </c>
      <c r="D12" s="13" t="s">
        <v>66</v>
      </c>
      <c r="E12" s="6"/>
      <c r="F12" s="7" t="s">
        <v>67</v>
      </c>
      <c r="G12" s="17" t="str">
        <f aca="false">IF(ABS(G11-Template!K61)&lt;0.01,"OK","MISMATCH")</f>
        <v>OK</v>
      </c>
      <c r="H12" s="17" t="str">
        <f aca="false">IF(ABS(H11-Template!O61)&lt;0.01,"OK","MISMATCH")</f>
        <v>OK</v>
      </c>
      <c r="I12" s="17" t="str">
        <f aca="false">IF(ABS(I11-Template!S61)&lt;0.01,"OK","MISMATCH")</f>
        <v>OK</v>
      </c>
    </row>
    <row r="13" customFormat="false" ht="15" hidden="false" customHeight="false" outlineLevel="0" collapsed="false">
      <c r="A13" s="11" t="s">
        <v>68</v>
      </c>
      <c r="B13" s="12" t="n">
        <v>1</v>
      </c>
      <c r="C13" s="7" t="s">
        <v>69</v>
      </c>
      <c r="D13" s="13" t="s">
        <v>70</v>
      </c>
      <c r="E13" s="6"/>
      <c r="F13" s="6"/>
      <c r="G13" s="6"/>
      <c r="H13" s="6"/>
      <c r="I13" s="6"/>
    </row>
    <row r="14" customFormat="false" ht="15" hidden="false" customHeight="false" outlineLevel="0" collapsed="false">
      <c r="A14" s="11" t="s">
        <v>71</v>
      </c>
      <c r="B14" s="12" t="n">
        <v>60</v>
      </c>
      <c r="C14" s="7" t="s">
        <v>72</v>
      </c>
      <c r="D14" s="13" t="s">
        <v>73</v>
      </c>
      <c r="E14" s="6"/>
      <c r="F14" s="15" t="s">
        <v>74</v>
      </c>
      <c r="G14" s="6"/>
      <c r="H14" s="6"/>
      <c r="I14" s="6"/>
    </row>
    <row r="15" customFormat="false" ht="15" hidden="false" customHeight="false" outlineLevel="0" collapsed="false">
      <c r="A15" s="11" t="s">
        <v>75</v>
      </c>
      <c r="B15" s="12" t="n">
        <v>1</v>
      </c>
      <c r="C15" s="7" t="s">
        <v>76</v>
      </c>
      <c r="D15" s="13" t="s">
        <v>77</v>
      </c>
      <c r="E15" s="6"/>
      <c r="F15" s="11" t="s">
        <v>78</v>
      </c>
      <c r="G15" s="14" t="n">
        <f aca="false">ROUND(G11*(1-RangePct),-2)</f>
        <v>16500</v>
      </c>
      <c r="H15" s="14" t="n">
        <f aca="false">ROUND(H11*(1-RangePct),-2)</f>
        <v>24700</v>
      </c>
      <c r="I15" s="14" t="n">
        <f aca="false">ROUND(I11*(1-RangePct),-2)</f>
        <v>35300</v>
      </c>
    </row>
    <row r="16" customFormat="false" ht="15" hidden="false" customHeight="false" outlineLevel="0" collapsed="false">
      <c r="A16" s="11" t="s">
        <v>79</v>
      </c>
      <c r="B16" s="12" t="n">
        <v>1</v>
      </c>
      <c r="C16" s="7" t="s">
        <v>80</v>
      </c>
      <c r="D16" s="13" t="s">
        <v>81</v>
      </c>
      <c r="E16" s="6"/>
      <c r="F16" s="11" t="s">
        <v>82</v>
      </c>
      <c r="G16" s="14" t="n">
        <f aca="false">ROUND(G11*(1+RangePct),-2)</f>
        <v>22300</v>
      </c>
      <c r="H16" s="14" t="n">
        <f aca="false">ROUND(H11*(1+RangePct),-2)</f>
        <v>33400</v>
      </c>
      <c r="I16" s="14" t="n">
        <f aca="false">ROUND(I11*(1+RangePct),-2)</f>
        <v>47800</v>
      </c>
    </row>
    <row r="17" customFormat="false" ht="15" hidden="false" customHeight="false" outlineLevel="0" collapsed="false">
      <c r="A17" s="11" t="s">
        <v>83</v>
      </c>
      <c r="B17" s="12" t="n">
        <v>0</v>
      </c>
      <c r="C17" s="7" t="s">
        <v>84</v>
      </c>
      <c r="D17" s="13" t="s">
        <v>85</v>
      </c>
      <c r="E17" s="6"/>
      <c r="F17" s="6"/>
      <c r="G17" s="6"/>
      <c r="H17" s="6"/>
      <c r="I17" s="6"/>
    </row>
    <row r="18" customFormat="false" ht="15" hidden="false" customHeight="false" outlineLevel="0" collapsed="false">
      <c r="A18" s="11" t="s">
        <v>86</v>
      </c>
      <c r="B18" s="12" t="n">
        <v>1</v>
      </c>
      <c r="C18" s="7" t="s">
        <v>87</v>
      </c>
      <c r="D18" s="13" t="s">
        <v>88</v>
      </c>
      <c r="E18" s="6"/>
      <c r="F18" s="7" t="s">
        <v>89</v>
      </c>
      <c r="G18" s="6"/>
      <c r="H18" s="6"/>
      <c r="I18" s="6"/>
    </row>
    <row r="19" customFormat="false" ht="15" hidden="false" customHeight="false" outlineLevel="0" collapsed="false">
      <c r="A19" s="11" t="s">
        <v>90</v>
      </c>
      <c r="B19" s="12" t="n">
        <v>0</v>
      </c>
      <c r="C19" s="7" t="s">
        <v>91</v>
      </c>
      <c r="D19" s="13" t="s">
        <v>92</v>
      </c>
      <c r="E19" s="6"/>
      <c r="F19" s="7" t="s">
        <v>93</v>
      </c>
      <c r="G19" s="6"/>
      <c r="H19" s="6"/>
      <c r="I19" s="6"/>
    </row>
    <row r="20" customFormat="false" ht="15" hidden="false" customHeight="false" outlineLevel="0" collapsed="false">
      <c r="A20" s="11" t="s">
        <v>94</v>
      </c>
      <c r="B20" s="12" t="n">
        <v>0</v>
      </c>
      <c r="C20" s="7" t="s">
        <v>95</v>
      </c>
      <c r="D20" s="13" t="s">
        <v>96</v>
      </c>
      <c r="E20" s="6"/>
      <c r="F20" s="6"/>
      <c r="G20" s="6"/>
      <c r="H20" s="6"/>
      <c r="I20" s="6"/>
    </row>
    <row r="21" customFormat="false" ht="15" hidden="false" customHeight="false" outlineLevel="0" collapsed="false">
      <c r="A21" s="11" t="s">
        <v>97</v>
      </c>
      <c r="B21" s="12" t="n">
        <v>0</v>
      </c>
      <c r="C21" s="7" t="s">
        <v>98</v>
      </c>
      <c r="D21" s="13" t="s">
        <v>99</v>
      </c>
      <c r="E21" s="6"/>
      <c r="F21" s="6"/>
      <c r="G21" s="6"/>
      <c r="H21" s="6"/>
      <c r="I21" s="6"/>
    </row>
    <row r="22" customFormat="false" ht="15" hidden="false" customHeight="false" outlineLevel="0" collapsed="false">
      <c r="A22" s="11" t="s">
        <v>100</v>
      </c>
      <c r="B22" s="12" t="n">
        <v>0</v>
      </c>
      <c r="C22" s="7" t="s">
        <v>101</v>
      </c>
      <c r="D22" s="13" t="s">
        <v>102</v>
      </c>
      <c r="E22" s="6"/>
      <c r="F22" s="6"/>
      <c r="G22" s="6"/>
      <c r="H22" s="6"/>
      <c r="I22" s="6"/>
    </row>
    <row r="23" customFormat="false" ht="15" hidden="false" customHeight="false" outlineLevel="0" collapsed="false">
      <c r="A23" s="11" t="s">
        <v>103</v>
      </c>
      <c r="B23" s="12" t="n">
        <v>0</v>
      </c>
      <c r="C23" s="7" t="s">
        <v>104</v>
      </c>
      <c r="D23" s="13" t="s">
        <v>105</v>
      </c>
      <c r="E23" s="6"/>
      <c r="F23" s="6"/>
      <c r="G23" s="6"/>
      <c r="H23" s="6"/>
      <c r="I23" s="6"/>
    </row>
    <row r="24" customFormat="false" ht="15" hidden="false" customHeight="false" outlineLevel="0" collapsed="false">
      <c r="A24" s="11" t="s">
        <v>106</v>
      </c>
      <c r="B24" s="12" t="n">
        <v>0</v>
      </c>
      <c r="C24" s="7" t="s">
        <v>107</v>
      </c>
      <c r="D24" s="13" t="s">
        <v>108</v>
      </c>
      <c r="E24" s="6"/>
      <c r="F24" s="6"/>
      <c r="G24" s="6"/>
      <c r="H24" s="6"/>
      <c r="I24" s="6"/>
    </row>
    <row r="25" customFormat="false" ht="15" hidden="false" customHeight="false" outlineLevel="0" collapsed="false">
      <c r="A25" s="11" t="s">
        <v>109</v>
      </c>
      <c r="B25" s="12" t="n">
        <v>1</v>
      </c>
      <c r="C25" s="7" t="s">
        <v>110</v>
      </c>
      <c r="D25" s="13" t="s">
        <v>111</v>
      </c>
      <c r="E25" s="6"/>
      <c r="F25" s="6"/>
      <c r="G25" s="6"/>
      <c r="H25" s="6"/>
      <c r="I25" s="6"/>
    </row>
    <row r="26" customFormat="false" ht="15" hidden="false" customHeight="false" outlineLevel="0" collapsed="false">
      <c r="A26" s="11" t="s">
        <v>112</v>
      </c>
      <c r="B26" s="12" t="n">
        <v>0</v>
      </c>
      <c r="C26" s="7" t="s">
        <v>113</v>
      </c>
      <c r="D26" s="13" t="s">
        <v>114</v>
      </c>
      <c r="E26" s="6"/>
      <c r="F26" s="6"/>
      <c r="G26" s="6"/>
      <c r="H26" s="6"/>
      <c r="I26" s="6"/>
    </row>
    <row r="27" customFormat="false" ht="15" hidden="false" customHeight="false" outlineLevel="0" collapsed="false">
      <c r="A27" s="11" t="s">
        <v>115</v>
      </c>
      <c r="B27" s="12" t="n">
        <v>5</v>
      </c>
      <c r="C27" s="7" t="s">
        <v>116</v>
      </c>
      <c r="D27" s="13" t="s">
        <v>117</v>
      </c>
      <c r="E27" s="6"/>
      <c r="F27" s="6"/>
      <c r="G27" s="6"/>
      <c r="H27" s="6"/>
      <c r="I2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8"/>
    <col collapsed="false" customWidth="true" hidden="false" outlineLevel="0" max="19" min="8" style="0" width="11"/>
    <col collapsed="false" customWidth="true" hidden="false" outlineLevel="0" max="21" min="21" style="0" width="70"/>
  </cols>
  <sheetData>
    <row r="1" customFormat="false" ht="17.35" hidden="false" customHeight="false" outlineLevel="0" collapsed="false">
      <c r="A1" s="5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119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23.85" hidden="false" customHeight="false" outlineLevel="0" collapsed="false">
      <c r="A4" s="8" t="s">
        <v>120</v>
      </c>
      <c r="B4" s="8" t="s">
        <v>121</v>
      </c>
      <c r="C4" s="8" t="s">
        <v>122</v>
      </c>
      <c r="D4" s="8" t="s">
        <v>123</v>
      </c>
      <c r="E4" s="8" t="s">
        <v>124</v>
      </c>
      <c r="F4" s="8" t="s">
        <v>125</v>
      </c>
      <c r="G4" s="8" t="s">
        <v>126</v>
      </c>
      <c r="H4" s="8" t="s">
        <v>127</v>
      </c>
      <c r="I4" s="8" t="s">
        <v>128</v>
      </c>
      <c r="J4" s="8" t="s">
        <v>129</v>
      </c>
      <c r="K4" s="8" t="s">
        <v>130</v>
      </c>
      <c r="L4" s="8" t="s">
        <v>131</v>
      </c>
      <c r="M4" s="8" t="s">
        <v>132</v>
      </c>
      <c r="N4" s="8" t="s">
        <v>133</v>
      </c>
      <c r="O4" s="8" t="s">
        <v>134</v>
      </c>
      <c r="P4" s="8" t="s">
        <v>135</v>
      </c>
      <c r="Q4" s="8" t="s">
        <v>136</v>
      </c>
      <c r="R4" s="8" t="s">
        <v>137</v>
      </c>
      <c r="S4" s="8" t="s">
        <v>138</v>
      </c>
      <c r="T4" s="8" t="s">
        <v>139</v>
      </c>
      <c r="U4" s="8" t="s">
        <v>140</v>
      </c>
    </row>
    <row r="5" customFormat="false" ht="15" hidden="false" customHeight="false" outlineLevel="0" collapsed="false">
      <c r="A5" s="18" t="n">
        <v>1</v>
      </c>
      <c r="B5" s="18" t="s">
        <v>141</v>
      </c>
      <c r="C5" s="18" t="s">
        <v>142</v>
      </c>
      <c r="D5" s="18" t="s">
        <v>143</v>
      </c>
      <c r="E5" s="18" t="s">
        <v>144</v>
      </c>
      <c r="F5" s="19" t="s">
        <v>145</v>
      </c>
      <c r="G5" s="20" t="n">
        <f aca="false">1</f>
        <v>1</v>
      </c>
      <c r="H5" s="21" t="n">
        <v>100</v>
      </c>
      <c r="I5" s="22" t="s">
        <v>146</v>
      </c>
      <c r="J5" s="23" t="n">
        <f aca="false">H5*INDEX(MarkupVals,MATCH(I5,MarkupCodes,0))</f>
        <v>145</v>
      </c>
      <c r="K5" s="24" t="n">
        <f aca="false">G5*J5</f>
        <v>145</v>
      </c>
      <c r="L5" s="21" t="n">
        <v>100</v>
      </c>
      <c r="M5" s="22" t="s">
        <v>146</v>
      </c>
      <c r="N5" s="23" t="n">
        <f aca="false">L5*INDEX(MarkupVals,MATCH(M5,MarkupCodes,0))</f>
        <v>145</v>
      </c>
      <c r="O5" s="24" t="n">
        <f aca="false">G5*N5</f>
        <v>145</v>
      </c>
      <c r="P5" s="21" t="n">
        <v>100</v>
      </c>
      <c r="Q5" s="22" t="s">
        <v>146</v>
      </c>
      <c r="R5" s="23" t="n">
        <f aca="false">P5*INDEX(MarkupVals,MATCH(Q5,MarkupCodes,0))</f>
        <v>145</v>
      </c>
      <c r="S5" s="24" t="n">
        <f aca="false">G5*R5</f>
        <v>145</v>
      </c>
      <c r="T5" s="25"/>
      <c r="U5" s="26" t="s">
        <v>147</v>
      </c>
    </row>
    <row r="6" customFormat="false" ht="15" hidden="false" customHeight="false" outlineLevel="0" collapsed="false">
      <c r="A6" s="18" t="n">
        <v>2</v>
      </c>
      <c r="B6" s="18" t="s">
        <v>148</v>
      </c>
      <c r="C6" s="18" t="s">
        <v>149</v>
      </c>
      <c r="D6" s="18" t="s">
        <v>150</v>
      </c>
      <c r="E6" s="18" t="s">
        <v>151</v>
      </c>
      <c r="F6" s="19" t="s">
        <v>152</v>
      </c>
      <c r="G6" s="20" t="n">
        <f aca="false">4 + 2*p_Bath_Full_Gut</f>
        <v>6</v>
      </c>
      <c r="H6" s="23" t="n">
        <f aca="false">LaborCost</f>
        <v>55</v>
      </c>
      <c r="I6" s="22" t="s">
        <v>153</v>
      </c>
      <c r="J6" s="23" t="n">
        <f aca="false">H6*INDEX(MarkupVals,MATCH(I6,MarkupCodes,0))</f>
        <v>100</v>
      </c>
      <c r="K6" s="24" t="n">
        <f aca="false">G6*J6</f>
        <v>600</v>
      </c>
      <c r="L6" s="23" t="n">
        <f aca="false">LaborCost</f>
        <v>55</v>
      </c>
      <c r="M6" s="22" t="s">
        <v>153</v>
      </c>
      <c r="N6" s="23" t="n">
        <f aca="false">L6*INDEX(MarkupVals,MATCH(M6,MarkupCodes,0))</f>
        <v>100</v>
      </c>
      <c r="O6" s="24" t="n">
        <f aca="false">G6*N6</f>
        <v>600</v>
      </c>
      <c r="P6" s="23" t="n">
        <f aca="false">LaborCost</f>
        <v>55</v>
      </c>
      <c r="Q6" s="22" t="s">
        <v>153</v>
      </c>
      <c r="R6" s="23" t="n">
        <f aca="false">P6*INDEX(MarkupVals,MATCH(Q6,MarkupCodes,0))</f>
        <v>100</v>
      </c>
      <c r="S6" s="24" t="n">
        <f aca="false">G6*R6</f>
        <v>600</v>
      </c>
      <c r="T6" s="25"/>
      <c r="U6" s="26"/>
    </row>
    <row r="7" customFormat="false" ht="15" hidden="false" customHeight="false" outlineLevel="0" collapsed="false">
      <c r="A7" s="18" t="n">
        <v>3</v>
      </c>
      <c r="B7" s="18" t="s">
        <v>154</v>
      </c>
      <c r="C7" s="18" t="s">
        <v>155</v>
      </c>
      <c r="D7" s="18" t="s">
        <v>156</v>
      </c>
      <c r="E7" s="18" t="s">
        <v>157</v>
      </c>
      <c r="F7" s="19" t="s">
        <v>145</v>
      </c>
      <c r="G7" s="20" t="n">
        <f aca="false">1</f>
        <v>1</v>
      </c>
      <c r="H7" s="21" t="n">
        <v>150</v>
      </c>
      <c r="I7" s="22" t="s">
        <v>158</v>
      </c>
      <c r="J7" s="23" t="n">
        <f aca="false">H7*INDEX(MarkupVals,MATCH(I7,MarkupCodes,0))</f>
        <v>217.5</v>
      </c>
      <c r="K7" s="24" t="n">
        <f aca="false">G7*J7</f>
        <v>217.5</v>
      </c>
      <c r="L7" s="21" t="n">
        <v>150</v>
      </c>
      <c r="M7" s="22" t="s">
        <v>158</v>
      </c>
      <c r="N7" s="23" t="n">
        <f aca="false">L7*INDEX(MarkupVals,MATCH(M7,MarkupCodes,0))</f>
        <v>217.5</v>
      </c>
      <c r="O7" s="24" t="n">
        <f aca="false">G7*N7</f>
        <v>217.5</v>
      </c>
      <c r="P7" s="21" t="n">
        <v>150</v>
      </c>
      <c r="Q7" s="22" t="s">
        <v>158</v>
      </c>
      <c r="R7" s="23" t="n">
        <f aca="false">P7*INDEX(MarkupVals,MATCH(Q7,MarkupCodes,0))</f>
        <v>217.5</v>
      </c>
      <c r="S7" s="24" t="n">
        <f aca="false">G7*R7</f>
        <v>217.5</v>
      </c>
      <c r="T7" s="25"/>
      <c r="U7" s="26"/>
    </row>
    <row r="8" customFormat="false" ht="15" hidden="false" customHeight="false" outlineLevel="0" collapsed="false">
      <c r="A8" s="18" t="n">
        <v>4</v>
      </c>
      <c r="B8" s="18" t="s">
        <v>154</v>
      </c>
      <c r="C8" s="18" t="s">
        <v>159</v>
      </c>
      <c r="D8" s="18" t="s">
        <v>160</v>
      </c>
      <c r="E8" s="18" t="s">
        <v>151</v>
      </c>
      <c r="F8" s="19" t="s">
        <v>161</v>
      </c>
      <c r="G8" s="20" t="n">
        <f aca="false">2</f>
        <v>2</v>
      </c>
      <c r="H8" s="23" t="n">
        <f aca="false">LaborCost</f>
        <v>55</v>
      </c>
      <c r="I8" s="22" t="s">
        <v>153</v>
      </c>
      <c r="J8" s="23" t="n">
        <f aca="false">H8*INDEX(MarkupVals,MATCH(I8,MarkupCodes,0))</f>
        <v>100</v>
      </c>
      <c r="K8" s="24" t="n">
        <f aca="false">G8*J8</f>
        <v>200</v>
      </c>
      <c r="L8" s="23" t="n">
        <f aca="false">LaborCost</f>
        <v>55</v>
      </c>
      <c r="M8" s="22" t="s">
        <v>153</v>
      </c>
      <c r="N8" s="23" t="n">
        <f aca="false">L8*INDEX(MarkupVals,MATCH(M8,MarkupCodes,0))</f>
        <v>100</v>
      </c>
      <c r="O8" s="24" t="n">
        <f aca="false">G8*N8</f>
        <v>200</v>
      </c>
      <c r="P8" s="23" t="n">
        <f aca="false">LaborCost</f>
        <v>55</v>
      </c>
      <c r="Q8" s="22" t="s">
        <v>153</v>
      </c>
      <c r="R8" s="23" t="n">
        <f aca="false">P8*INDEX(MarkupVals,MATCH(Q8,MarkupCodes,0))</f>
        <v>100</v>
      </c>
      <c r="S8" s="24" t="n">
        <f aca="false">G8*R8</f>
        <v>200</v>
      </c>
      <c r="T8" s="25"/>
      <c r="U8" s="26"/>
    </row>
    <row r="9" customFormat="false" ht="15" hidden="false" customHeight="false" outlineLevel="0" collapsed="false">
      <c r="A9" s="18" t="n">
        <v>5</v>
      </c>
      <c r="B9" s="18" t="s">
        <v>162</v>
      </c>
      <c r="C9" s="18" t="s">
        <v>163</v>
      </c>
      <c r="D9" s="18" t="s">
        <v>163</v>
      </c>
      <c r="E9" s="18" t="s">
        <v>151</v>
      </c>
      <c r="F9" s="19" t="s">
        <v>164</v>
      </c>
      <c r="G9" s="20" t="n">
        <f aca="false">6 + 10*p_Bath_Full_Gut</f>
        <v>16</v>
      </c>
      <c r="H9" s="23" t="n">
        <f aca="false">LaborCost</f>
        <v>55</v>
      </c>
      <c r="I9" s="22" t="s">
        <v>153</v>
      </c>
      <c r="J9" s="23" t="n">
        <f aca="false">H9*INDEX(MarkupVals,MATCH(I9,MarkupCodes,0))</f>
        <v>100</v>
      </c>
      <c r="K9" s="24" t="n">
        <f aca="false">G9*J9</f>
        <v>1600</v>
      </c>
      <c r="L9" s="23" t="n">
        <f aca="false">LaborCost</f>
        <v>55</v>
      </c>
      <c r="M9" s="22" t="s">
        <v>153</v>
      </c>
      <c r="N9" s="23" t="n">
        <f aca="false">L9*INDEX(MarkupVals,MATCH(M9,MarkupCodes,0))</f>
        <v>100</v>
      </c>
      <c r="O9" s="24" t="n">
        <f aca="false">G9*N9</f>
        <v>1600</v>
      </c>
      <c r="P9" s="23" t="n">
        <f aca="false">LaborCost</f>
        <v>55</v>
      </c>
      <c r="Q9" s="22" t="s">
        <v>153</v>
      </c>
      <c r="R9" s="23" t="n">
        <f aca="false">P9*INDEX(MarkupVals,MATCH(Q9,MarkupCodes,0))</f>
        <v>100</v>
      </c>
      <c r="S9" s="24" t="n">
        <f aca="false">G9*R9</f>
        <v>1600</v>
      </c>
      <c r="T9" s="25"/>
      <c r="U9" s="26"/>
    </row>
    <row r="10" customFormat="false" ht="15" hidden="false" customHeight="false" outlineLevel="0" collapsed="false">
      <c r="A10" s="18" t="n">
        <v>6</v>
      </c>
      <c r="B10" s="18" t="s">
        <v>165</v>
      </c>
      <c r="C10" s="18" t="s">
        <v>166</v>
      </c>
      <c r="D10" s="18" t="s">
        <v>167</v>
      </c>
      <c r="E10" s="18" t="s">
        <v>157</v>
      </c>
      <c r="F10" s="19" t="s">
        <v>111</v>
      </c>
      <c r="G10" s="20" t="n">
        <f aca="false">p_Bath_Dumpster_Loads</f>
        <v>1</v>
      </c>
      <c r="H10" s="21" t="n">
        <v>250</v>
      </c>
      <c r="I10" s="22" t="s">
        <v>153</v>
      </c>
      <c r="J10" s="21" t="n">
        <v>450</v>
      </c>
      <c r="K10" s="24" t="n">
        <f aca="false">G10*J10</f>
        <v>450</v>
      </c>
      <c r="L10" s="21" t="n">
        <v>250</v>
      </c>
      <c r="M10" s="22" t="s">
        <v>153</v>
      </c>
      <c r="N10" s="21" t="n">
        <v>450</v>
      </c>
      <c r="O10" s="24" t="n">
        <f aca="false">G10*N10</f>
        <v>450</v>
      </c>
      <c r="P10" s="21" t="n">
        <v>250</v>
      </c>
      <c r="Q10" s="22" t="s">
        <v>153</v>
      </c>
      <c r="R10" s="21" t="n">
        <v>450</v>
      </c>
      <c r="S10" s="24" t="n">
        <f aca="false">G10*R10</f>
        <v>450</v>
      </c>
      <c r="T10" s="25"/>
      <c r="U10" s="26" t="s">
        <v>168</v>
      </c>
    </row>
    <row r="11" customFormat="false" ht="15" hidden="false" customHeight="false" outlineLevel="0" collapsed="false">
      <c r="A11" s="18" t="n">
        <v>7</v>
      </c>
      <c r="B11" s="18" t="s">
        <v>165</v>
      </c>
      <c r="C11" s="18" t="s">
        <v>169</v>
      </c>
      <c r="D11" s="18" t="s">
        <v>160</v>
      </c>
      <c r="E11" s="18" t="s">
        <v>151</v>
      </c>
      <c r="F11" s="19" t="s">
        <v>170</v>
      </c>
      <c r="G11" s="20" t="n">
        <f aca="false">2 + p_Bath_Full_Gut</f>
        <v>3</v>
      </c>
      <c r="H11" s="23" t="n">
        <f aca="false">LaborCost</f>
        <v>55</v>
      </c>
      <c r="I11" s="22" t="s">
        <v>153</v>
      </c>
      <c r="J11" s="23" t="n">
        <f aca="false">H11*INDEX(MarkupVals,MATCH(I11,MarkupCodes,0))</f>
        <v>100</v>
      </c>
      <c r="K11" s="24" t="n">
        <f aca="false">G11*J11</f>
        <v>300</v>
      </c>
      <c r="L11" s="23" t="n">
        <f aca="false">LaborCost</f>
        <v>55</v>
      </c>
      <c r="M11" s="22" t="s">
        <v>153</v>
      </c>
      <c r="N11" s="23" t="n">
        <f aca="false">L11*INDEX(MarkupVals,MATCH(M11,MarkupCodes,0))</f>
        <v>100</v>
      </c>
      <c r="O11" s="24" t="n">
        <f aca="false">G11*N11</f>
        <v>300</v>
      </c>
      <c r="P11" s="23" t="n">
        <f aca="false">LaborCost</f>
        <v>55</v>
      </c>
      <c r="Q11" s="22" t="s">
        <v>153</v>
      </c>
      <c r="R11" s="23" t="n">
        <f aca="false">P11*INDEX(MarkupVals,MATCH(Q11,MarkupCodes,0))</f>
        <v>100</v>
      </c>
      <c r="S11" s="24" t="n">
        <f aca="false">G11*R11</f>
        <v>300</v>
      </c>
      <c r="T11" s="25"/>
      <c r="U11" s="26"/>
    </row>
    <row r="12" customFormat="false" ht="15" hidden="false" customHeight="false" outlineLevel="0" collapsed="false">
      <c r="A12" s="18" t="n">
        <v>8</v>
      </c>
      <c r="B12" s="18" t="s">
        <v>171</v>
      </c>
      <c r="C12" s="18" t="s">
        <v>172</v>
      </c>
      <c r="D12" s="18" t="s">
        <v>150</v>
      </c>
      <c r="E12" s="18" t="s">
        <v>151</v>
      </c>
      <c r="F12" s="19" t="s">
        <v>114</v>
      </c>
      <c r="G12" s="20" t="n">
        <f aca="false">p_Bath_Travel_Hours</f>
        <v>0</v>
      </c>
      <c r="H12" s="23" t="n">
        <f aca="false">LaborCost</f>
        <v>55</v>
      </c>
      <c r="I12" s="22" t="s">
        <v>153</v>
      </c>
      <c r="J12" s="23" t="n">
        <f aca="false">H12*INDEX(MarkupVals,MATCH(I12,MarkupCodes,0))</f>
        <v>100</v>
      </c>
      <c r="K12" s="24" t="n">
        <f aca="false">G12*J12</f>
        <v>0</v>
      </c>
      <c r="L12" s="23" t="n">
        <f aca="false">LaborCost</f>
        <v>55</v>
      </c>
      <c r="M12" s="22" t="s">
        <v>153</v>
      </c>
      <c r="N12" s="23" t="n">
        <f aca="false">L12*INDEX(MarkupVals,MATCH(M12,MarkupCodes,0))</f>
        <v>100</v>
      </c>
      <c r="O12" s="24" t="n">
        <f aca="false">G12*N12</f>
        <v>0</v>
      </c>
      <c r="P12" s="23" t="n">
        <f aca="false">LaborCost</f>
        <v>55</v>
      </c>
      <c r="Q12" s="22" t="s">
        <v>153</v>
      </c>
      <c r="R12" s="23" t="n">
        <f aca="false">P12*INDEX(MarkupVals,MATCH(Q12,MarkupCodes,0))</f>
        <v>100</v>
      </c>
      <c r="S12" s="24" t="n">
        <f aca="false">G12*R12</f>
        <v>0</v>
      </c>
      <c r="T12" s="25"/>
      <c r="U12" s="26" t="s">
        <v>173</v>
      </c>
    </row>
    <row r="13" customFormat="false" ht="15" hidden="false" customHeight="false" outlineLevel="0" collapsed="false">
      <c r="A13" s="18" t="n">
        <v>9</v>
      </c>
      <c r="B13" s="18" t="s">
        <v>174</v>
      </c>
      <c r="C13" s="18" t="s">
        <v>175</v>
      </c>
      <c r="D13" s="18" t="s">
        <v>176</v>
      </c>
      <c r="E13" s="18" t="s">
        <v>144</v>
      </c>
      <c r="F13" s="19" t="s">
        <v>177</v>
      </c>
      <c r="G13" s="20" t="n">
        <f aca="false">p_Bath_Walk_In_Shower + 2*p_Bath_Walls_Moved + ROUNDUP(p_Bath_Subfloor_Repair_Area/32,0)</f>
        <v>1</v>
      </c>
      <c r="H13" s="21" t="n">
        <v>100</v>
      </c>
      <c r="I13" s="22" t="s">
        <v>158</v>
      </c>
      <c r="J13" s="23" t="n">
        <f aca="false">H13*INDEX(MarkupVals,MATCH(I13,MarkupCodes,0))</f>
        <v>145</v>
      </c>
      <c r="K13" s="24" t="n">
        <f aca="false">G13*J13</f>
        <v>145</v>
      </c>
      <c r="L13" s="21" t="n">
        <v>100</v>
      </c>
      <c r="M13" s="22" t="s">
        <v>158</v>
      </c>
      <c r="N13" s="23" t="n">
        <f aca="false">L13*INDEX(MarkupVals,MATCH(M13,MarkupCodes,0))</f>
        <v>145</v>
      </c>
      <c r="O13" s="24" t="n">
        <f aca="false">G13*N13</f>
        <v>145</v>
      </c>
      <c r="P13" s="21" t="n">
        <v>100</v>
      </c>
      <c r="Q13" s="22" t="s">
        <v>158</v>
      </c>
      <c r="R13" s="23" t="n">
        <f aca="false">P13*INDEX(MarkupVals,MATCH(Q13,MarkupCodes,0))</f>
        <v>145</v>
      </c>
      <c r="S13" s="24" t="n">
        <f aca="false">G13*R13</f>
        <v>145</v>
      </c>
      <c r="T13" s="25"/>
      <c r="U13" s="26"/>
    </row>
    <row r="14" customFormat="false" ht="15" hidden="false" customHeight="false" outlineLevel="0" collapsed="false">
      <c r="A14" s="18" t="n">
        <v>10</v>
      </c>
      <c r="B14" s="18" t="s">
        <v>174</v>
      </c>
      <c r="C14" s="18" t="s">
        <v>178</v>
      </c>
      <c r="D14" s="18" t="s">
        <v>179</v>
      </c>
      <c r="E14" s="18" t="s">
        <v>151</v>
      </c>
      <c r="F14" s="19" t="s">
        <v>180</v>
      </c>
      <c r="G14" s="20" t="n">
        <f aca="false">4*p_Bath_Walk_In_Shower + 6*p_Bath_Walls_Moved + ROUNDUP(p_Bath_Subfloor_Repair_Area/8,0)</f>
        <v>4</v>
      </c>
      <c r="H14" s="23" t="n">
        <f aca="false">LaborCost</f>
        <v>55</v>
      </c>
      <c r="I14" s="22" t="s">
        <v>153</v>
      </c>
      <c r="J14" s="23" t="n">
        <f aca="false">H14*INDEX(MarkupVals,MATCH(I14,MarkupCodes,0))</f>
        <v>100</v>
      </c>
      <c r="K14" s="24" t="n">
        <f aca="false">G14*J14</f>
        <v>400</v>
      </c>
      <c r="L14" s="23" t="n">
        <f aca="false">LaborCost</f>
        <v>55</v>
      </c>
      <c r="M14" s="22" t="s">
        <v>153</v>
      </c>
      <c r="N14" s="23" t="n">
        <f aca="false">L14*INDEX(MarkupVals,MATCH(M14,MarkupCodes,0))</f>
        <v>100</v>
      </c>
      <c r="O14" s="24" t="n">
        <f aca="false">G14*N14</f>
        <v>400</v>
      </c>
      <c r="P14" s="23" t="n">
        <f aca="false">LaborCost</f>
        <v>55</v>
      </c>
      <c r="Q14" s="22" t="s">
        <v>153</v>
      </c>
      <c r="R14" s="23" t="n">
        <f aca="false">P14*INDEX(MarkupVals,MATCH(Q14,MarkupCodes,0))</f>
        <v>100</v>
      </c>
      <c r="S14" s="24" t="n">
        <f aca="false">G14*R14</f>
        <v>400</v>
      </c>
      <c r="T14" s="25"/>
      <c r="U14" s="26"/>
    </row>
    <row r="15" customFormat="false" ht="15" hidden="false" customHeight="false" outlineLevel="0" collapsed="false">
      <c r="A15" s="18" t="n">
        <v>11</v>
      </c>
      <c r="B15" s="18" t="s">
        <v>181</v>
      </c>
      <c r="C15" s="18" t="s">
        <v>182</v>
      </c>
      <c r="D15" s="18" t="s">
        <v>183</v>
      </c>
      <c r="E15" s="18" t="s">
        <v>144</v>
      </c>
      <c r="F15" s="19" t="s">
        <v>184</v>
      </c>
      <c r="G15" s="20" t="n">
        <f aca="false">1 + p_Bath_Fixtures_Replaced + 5*p_Bath_Fixtures_Relocated</f>
        <v>4</v>
      </c>
      <c r="H15" s="21" t="n">
        <v>100</v>
      </c>
      <c r="I15" s="22" t="s">
        <v>158</v>
      </c>
      <c r="J15" s="23" t="n">
        <f aca="false">H15*INDEX(MarkupVals,MATCH(I15,MarkupCodes,0))</f>
        <v>145</v>
      </c>
      <c r="K15" s="24" t="n">
        <f aca="false">G15*J15</f>
        <v>580</v>
      </c>
      <c r="L15" s="21" t="n">
        <v>100</v>
      </c>
      <c r="M15" s="22" t="s">
        <v>158</v>
      </c>
      <c r="N15" s="23" t="n">
        <f aca="false">L15*INDEX(MarkupVals,MATCH(M15,MarkupCodes,0))</f>
        <v>145</v>
      </c>
      <c r="O15" s="24" t="n">
        <f aca="false">G15*N15</f>
        <v>580</v>
      </c>
      <c r="P15" s="21" t="n">
        <v>100</v>
      </c>
      <c r="Q15" s="22" t="s">
        <v>158</v>
      </c>
      <c r="R15" s="23" t="n">
        <f aca="false">P15*INDEX(MarkupVals,MATCH(Q15,MarkupCodes,0))</f>
        <v>145</v>
      </c>
      <c r="S15" s="24" t="n">
        <f aca="false">G15*R15</f>
        <v>580</v>
      </c>
      <c r="T15" s="25"/>
      <c r="U15" s="26" t="s">
        <v>185</v>
      </c>
    </row>
    <row r="16" customFormat="false" ht="15" hidden="false" customHeight="false" outlineLevel="0" collapsed="false">
      <c r="A16" s="18" t="n">
        <v>12</v>
      </c>
      <c r="B16" s="18" t="s">
        <v>181</v>
      </c>
      <c r="C16" s="18" t="s">
        <v>186</v>
      </c>
      <c r="D16" s="18" t="s">
        <v>183</v>
      </c>
      <c r="E16" s="18" t="s">
        <v>151</v>
      </c>
      <c r="F16" s="19" t="s">
        <v>187</v>
      </c>
      <c r="G16" s="20" t="n">
        <f aca="false">3 + ROUND(2.5*p_Bath_Fixtures_Replaced,0) + 4*p_Bath_Fixtures_Relocated</f>
        <v>11</v>
      </c>
      <c r="H16" s="23" t="n">
        <f aca="false">LaborCost</f>
        <v>55</v>
      </c>
      <c r="I16" s="22" t="s">
        <v>153</v>
      </c>
      <c r="J16" s="23" t="n">
        <f aca="false">H16*INDEX(MarkupVals,MATCH(I16,MarkupCodes,0))</f>
        <v>100</v>
      </c>
      <c r="K16" s="24" t="n">
        <f aca="false">G16*J16</f>
        <v>1100</v>
      </c>
      <c r="L16" s="23" t="n">
        <f aca="false">LaborCost</f>
        <v>55</v>
      </c>
      <c r="M16" s="22" t="s">
        <v>153</v>
      </c>
      <c r="N16" s="23" t="n">
        <f aca="false">L16*INDEX(MarkupVals,MATCH(M16,MarkupCodes,0))</f>
        <v>100</v>
      </c>
      <c r="O16" s="24" t="n">
        <f aca="false">G16*N16</f>
        <v>1100</v>
      </c>
      <c r="P16" s="23" t="n">
        <f aca="false">LaborCost</f>
        <v>55</v>
      </c>
      <c r="Q16" s="22" t="s">
        <v>153</v>
      </c>
      <c r="R16" s="23" t="n">
        <f aca="false">P16*INDEX(MarkupVals,MATCH(Q16,MarkupCodes,0))</f>
        <v>100</v>
      </c>
      <c r="S16" s="24" t="n">
        <f aca="false">G16*R16</f>
        <v>1100</v>
      </c>
      <c r="T16" s="25"/>
      <c r="U16" s="26"/>
    </row>
    <row r="17" customFormat="false" ht="15" hidden="false" customHeight="false" outlineLevel="0" collapsed="false">
      <c r="A17" s="18" t="n">
        <v>13</v>
      </c>
      <c r="B17" s="18" t="s">
        <v>181</v>
      </c>
      <c r="C17" s="18" t="s">
        <v>188</v>
      </c>
      <c r="D17" s="18" t="s">
        <v>183</v>
      </c>
      <c r="E17" s="18" t="s">
        <v>144</v>
      </c>
      <c r="F17" s="19" t="s">
        <v>108</v>
      </c>
      <c r="G17" s="20" t="n">
        <f aca="false">p_Bath_HVAC_Work</f>
        <v>0</v>
      </c>
      <c r="H17" s="21" t="n">
        <v>100</v>
      </c>
      <c r="I17" s="22" t="s">
        <v>158</v>
      </c>
      <c r="J17" s="23" t="n">
        <f aca="false">H17*INDEX(MarkupVals,MATCH(I17,MarkupCodes,0))</f>
        <v>145</v>
      </c>
      <c r="K17" s="24" t="n">
        <f aca="false">G17*J17</f>
        <v>0</v>
      </c>
      <c r="L17" s="21" t="n">
        <v>100</v>
      </c>
      <c r="M17" s="22" t="s">
        <v>158</v>
      </c>
      <c r="N17" s="23" t="n">
        <f aca="false">L17*INDEX(MarkupVals,MATCH(M17,MarkupCodes,0))</f>
        <v>145</v>
      </c>
      <c r="O17" s="24" t="n">
        <f aca="false">G17*N17</f>
        <v>0</v>
      </c>
      <c r="P17" s="21" t="n">
        <v>100</v>
      </c>
      <c r="Q17" s="22" t="s">
        <v>158</v>
      </c>
      <c r="R17" s="23" t="n">
        <f aca="false">P17*INDEX(MarkupVals,MATCH(Q17,MarkupCodes,0))</f>
        <v>145</v>
      </c>
      <c r="S17" s="24" t="n">
        <f aca="false">G17*R17</f>
        <v>0</v>
      </c>
      <c r="T17" s="25"/>
      <c r="U17" s="26"/>
    </row>
    <row r="18" customFormat="false" ht="15" hidden="false" customHeight="false" outlineLevel="0" collapsed="false">
      <c r="A18" s="18" t="n">
        <v>14</v>
      </c>
      <c r="B18" s="18" t="s">
        <v>181</v>
      </c>
      <c r="C18" s="18" t="s">
        <v>189</v>
      </c>
      <c r="D18" s="18" t="s">
        <v>183</v>
      </c>
      <c r="E18" s="18" t="s">
        <v>151</v>
      </c>
      <c r="F18" s="19" t="s">
        <v>190</v>
      </c>
      <c r="G18" s="20" t="n">
        <f aca="false">2*p_Bath_HVAC_Work</f>
        <v>0</v>
      </c>
      <c r="H18" s="23" t="n">
        <f aca="false">LaborCost</f>
        <v>55</v>
      </c>
      <c r="I18" s="22" t="s">
        <v>153</v>
      </c>
      <c r="J18" s="23" t="n">
        <f aca="false">H18*INDEX(MarkupVals,MATCH(I18,MarkupCodes,0))</f>
        <v>100</v>
      </c>
      <c r="K18" s="24" t="n">
        <f aca="false">G18*J18</f>
        <v>0</v>
      </c>
      <c r="L18" s="23" t="n">
        <f aca="false">LaborCost</f>
        <v>55</v>
      </c>
      <c r="M18" s="22" t="s">
        <v>153</v>
      </c>
      <c r="N18" s="23" t="n">
        <f aca="false">L18*INDEX(MarkupVals,MATCH(M18,MarkupCodes,0))</f>
        <v>100</v>
      </c>
      <c r="O18" s="24" t="n">
        <f aca="false">G18*N18</f>
        <v>0</v>
      </c>
      <c r="P18" s="23" t="n">
        <f aca="false">LaborCost</f>
        <v>55</v>
      </c>
      <c r="Q18" s="22" t="s">
        <v>153</v>
      </c>
      <c r="R18" s="23" t="n">
        <f aca="false">P18*INDEX(MarkupVals,MATCH(Q18,MarkupCodes,0))</f>
        <v>100</v>
      </c>
      <c r="S18" s="24" t="n">
        <f aca="false">G18*R18</f>
        <v>0</v>
      </c>
      <c r="T18" s="25"/>
      <c r="U18" s="26"/>
    </row>
    <row r="19" customFormat="false" ht="15" hidden="false" customHeight="false" outlineLevel="0" collapsed="false">
      <c r="A19" s="18" t="n">
        <v>15</v>
      </c>
      <c r="B19" s="18" t="s">
        <v>191</v>
      </c>
      <c r="C19" s="18" t="s">
        <v>192</v>
      </c>
      <c r="D19" s="18" t="s">
        <v>193</v>
      </c>
      <c r="E19" s="18" t="s">
        <v>144</v>
      </c>
      <c r="F19" s="19" t="s">
        <v>194</v>
      </c>
      <c r="G19" s="20" t="n">
        <f aca="false">1 + p_Bath_Circuits_Added + 0.5*p_Bath_Recessed_Lights</f>
        <v>2</v>
      </c>
      <c r="H19" s="21" t="n">
        <v>60</v>
      </c>
      <c r="I19" s="22" t="s">
        <v>158</v>
      </c>
      <c r="J19" s="23" t="n">
        <f aca="false">H19*INDEX(MarkupVals,MATCH(I19,MarkupCodes,0))</f>
        <v>87</v>
      </c>
      <c r="K19" s="24" t="n">
        <f aca="false">G19*J19</f>
        <v>174</v>
      </c>
      <c r="L19" s="21" t="n">
        <v>60</v>
      </c>
      <c r="M19" s="22" t="s">
        <v>158</v>
      </c>
      <c r="N19" s="23" t="n">
        <f aca="false">L19*INDEX(MarkupVals,MATCH(M19,MarkupCodes,0))</f>
        <v>87</v>
      </c>
      <c r="O19" s="24" t="n">
        <f aca="false">G19*N19</f>
        <v>174</v>
      </c>
      <c r="P19" s="21" t="n">
        <v>60</v>
      </c>
      <c r="Q19" s="22" t="s">
        <v>158</v>
      </c>
      <c r="R19" s="23" t="n">
        <f aca="false">P19*INDEX(MarkupVals,MATCH(Q19,MarkupCodes,0))</f>
        <v>87</v>
      </c>
      <c r="S19" s="24" t="n">
        <f aca="false">G19*R19</f>
        <v>174</v>
      </c>
      <c r="T19" s="25"/>
      <c r="U19" s="26"/>
    </row>
    <row r="20" customFormat="false" ht="15" hidden="false" customHeight="false" outlineLevel="0" collapsed="false">
      <c r="A20" s="18" t="n">
        <v>16</v>
      </c>
      <c r="B20" s="18" t="s">
        <v>191</v>
      </c>
      <c r="C20" s="18" t="s">
        <v>195</v>
      </c>
      <c r="D20" s="18" t="s">
        <v>193</v>
      </c>
      <c r="E20" s="18" t="s">
        <v>151</v>
      </c>
      <c r="F20" s="19" t="s">
        <v>196</v>
      </c>
      <c r="G20" s="20" t="n">
        <f aca="false">3 + p_Bath_Light_Fixtures + p_Bath_Recessed_Lights + 3*p_Bath_Circuits_Added</f>
        <v>7</v>
      </c>
      <c r="H20" s="23" t="n">
        <f aca="false">LaborCost</f>
        <v>55</v>
      </c>
      <c r="I20" s="22" t="s">
        <v>153</v>
      </c>
      <c r="J20" s="23" t="n">
        <f aca="false">H20*INDEX(MarkupVals,MATCH(I20,MarkupCodes,0))</f>
        <v>100</v>
      </c>
      <c r="K20" s="24" t="n">
        <f aca="false">G20*J20</f>
        <v>700</v>
      </c>
      <c r="L20" s="23" t="n">
        <f aca="false">LaborCost</f>
        <v>55</v>
      </c>
      <c r="M20" s="22" t="s">
        <v>153</v>
      </c>
      <c r="N20" s="23" t="n">
        <f aca="false">L20*INDEX(MarkupVals,MATCH(M20,MarkupCodes,0))</f>
        <v>100</v>
      </c>
      <c r="O20" s="24" t="n">
        <f aca="false">G20*N20</f>
        <v>700</v>
      </c>
      <c r="P20" s="23" t="n">
        <f aca="false">LaborCost</f>
        <v>55</v>
      </c>
      <c r="Q20" s="22" t="s">
        <v>153</v>
      </c>
      <c r="R20" s="23" t="n">
        <f aca="false">P20*INDEX(MarkupVals,MATCH(Q20,MarkupCodes,0))</f>
        <v>100</v>
      </c>
      <c r="S20" s="24" t="n">
        <f aca="false">G20*R20</f>
        <v>700</v>
      </c>
      <c r="T20" s="25"/>
      <c r="U20" s="26"/>
    </row>
    <row r="21" customFormat="false" ht="15" hidden="false" customHeight="false" outlineLevel="0" collapsed="false">
      <c r="A21" s="18" t="n">
        <v>17</v>
      </c>
      <c r="B21" s="18" t="s">
        <v>191</v>
      </c>
      <c r="C21" s="18" t="s">
        <v>197</v>
      </c>
      <c r="D21" s="18" t="s">
        <v>193</v>
      </c>
      <c r="E21" s="18" t="s">
        <v>157</v>
      </c>
      <c r="F21" s="19" t="s">
        <v>77</v>
      </c>
      <c r="G21" s="20" t="n">
        <f aca="false">p_Bath_Exhaust_Fan</f>
        <v>1</v>
      </c>
      <c r="H21" s="21" t="n">
        <v>50</v>
      </c>
      <c r="I21" s="22" t="s">
        <v>158</v>
      </c>
      <c r="J21" s="23" t="n">
        <f aca="false">H21*INDEX(MarkupVals,MATCH(I21,MarkupCodes,0))</f>
        <v>72.5</v>
      </c>
      <c r="K21" s="24" t="n">
        <f aca="false">G21*J21</f>
        <v>72.5</v>
      </c>
      <c r="L21" s="21" t="n">
        <v>50</v>
      </c>
      <c r="M21" s="22" t="s">
        <v>158</v>
      </c>
      <c r="N21" s="23" t="n">
        <f aca="false">L21*INDEX(MarkupVals,MATCH(M21,MarkupCodes,0))</f>
        <v>72.5</v>
      </c>
      <c r="O21" s="24" t="n">
        <f aca="false">G21*N21</f>
        <v>72.5</v>
      </c>
      <c r="P21" s="21" t="n">
        <v>50</v>
      </c>
      <c r="Q21" s="22" t="s">
        <v>158</v>
      </c>
      <c r="R21" s="23" t="n">
        <f aca="false">P21*INDEX(MarkupVals,MATCH(Q21,MarkupCodes,0))</f>
        <v>72.5</v>
      </c>
      <c r="S21" s="24" t="n">
        <f aca="false">G21*R21</f>
        <v>72.5</v>
      </c>
      <c r="T21" s="25"/>
      <c r="U21" s="26"/>
    </row>
    <row r="22" customFormat="false" ht="15" hidden="false" customHeight="false" outlineLevel="0" collapsed="false">
      <c r="A22" s="18" t="n">
        <v>18</v>
      </c>
      <c r="B22" s="18" t="s">
        <v>191</v>
      </c>
      <c r="C22" s="18" t="s">
        <v>198</v>
      </c>
      <c r="D22" s="18" t="s">
        <v>193</v>
      </c>
      <c r="E22" s="18" t="s">
        <v>151</v>
      </c>
      <c r="F22" s="19" t="s">
        <v>199</v>
      </c>
      <c r="G22" s="20" t="n">
        <f aca="false">3*p_Bath_Exhaust_Fan</f>
        <v>3</v>
      </c>
      <c r="H22" s="23" t="n">
        <f aca="false">LaborCost</f>
        <v>55</v>
      </c>
      <c r="I22" s="22" t="s">
        <v>153</v>
      </c>
      <c r="J22" s="23" t="n">
        <f aca="false">H22*INDEX(MarkupVals,MATCH(I22,MarkupCodes,0))</f>
        <v>100</v>
      </c>
      <c r="K22" s="24" t="n">
        <f aca="false">G22*J22</f>
        <v>300</v>
      </c>
      <c r="L22" s="23" t="n">
        <f aca="false">LaborCost</f>
        <v>55</v>
      </c>
      <c r="M22" s="22" t="s">
        <v>153</v>
      </c>
      <c r="N22" s="23" t="n">
        <f aca="false">L22*INDEX(MarkupVals,MATCH(M22,MarkupCodes,0))</f>
        <v>100</v>
      </c>
      <c r="O22" s="24" t="n">
        <f aca="false">G22*N22</f>
        <v>300</v>
      </c>
      <c r="P22" s="23" t="n">
        <f aca="false">LaborCost</f>
        <v>55</v>
      </c>
      <c r="Q22" s="22" t="s">
        <v>153</v>
      </c>
      <c r="R22" s="23" t="n">
        <f aca="false">P22*INDEX(MarkupVals,MATCH(Q22,MarkupCodes,0))</f>
        <v>100</v>
      </c>
      <c r="S22" s="24" t="n">
        <f aca="false">G22*R22</f>
        <v>300</v>
      </c>
      <c r="T22" s="25"/>
      <c r="U22" s="26"/>
    </row>
    <row r="23" customFormat="false" ht="15" hidden="false" customHeight="false" outlineLevel="0" collapsed="false">
      <c r="A23" s="18" t="n">
        <v>19</v>
      </c>
      <c r="B23" s="18" t="s">
        <v>200</v>
      </c>
      <c r="C23" s="18" t="s">
        <v>201</v>
      </c>
      <c r="D23" s="18" t="s">
        <v>202</v>
      </c>
      <c r="E23" s="18" t="s">
        <v>144</v>
      </c>
      <c r="F23" s="19" t="s">
        <v>203</v>
      </c>
      <c r="G23" s="20" t="n">
        <f aca="false">1 + p_Bath_Full_Gut</f>
        <v>2</v>
      </c>
      <c r="H23" s="21" t="n">
        <v>80</v>
      </c>
      <c r="I23" s="22" t="s">
        <v>158</v>
      </c>
      <c r="J23" s="23" t="n">
        <f aca="false">H23*INDEX(MarkupVals,MATCH(I23,MarkupCodes,0))</f>
        <v>116</v>
      </c>
      <c r="K23" s="24" t="n">
        <f aca="false">G23*J23</f>
        <v>232</v>
      </c>
      <c r="L23" s="21" t="n">
        <v>80</v>
      </c>
      <c r="M23" s="22" t="s">
        <v>158</v>
      </c>
      <c r="N23" s="23" t="n">
        <f aca="false">L23*INDEX(MarkupVals,MATCH(M23,MarkupCodes,0))</f>
        <v>116</v>
      </c>
      <c r="O23" s="24" t="n">
        <f aca="false">G23*N23</f>
        <v>232</v>
      </c>
      <c r="P23" s="21" t="n">
        <v>80</v>
      </c>
      <c r="Q23" s="22" t="s">
        <v>158</v>
      </c>
      <c r="R23" s="23" t="n">
        <f aca="false">P23*INDEX(MarkupVals,MATCH(Q23,MarkupCodes,0))</f>
        <v>116</v>
      </c>
      <c r="S23" s="24" t="n">
        <f aca="false">G23*R23</f>
        <v>232</v>
      </c>
      <c r="T23" s="25"/>
      <c r="U23" s="26"/>
    </row>
    <row r="24" customFormat="false" ht="15" hidden="false" customHeight="false" outlineLevel="0" collapsed="false">
      <c r="A24" s="18" t="n">
        <v>20</v>
      </c>
      <c r="B24" s="18" t="s">
        <v>200</v>
      </c>
      <c r="C24" s="18" t="s">
        <v>204</v>
      </c>
      <c r="D24" s="18" t="s">
        <v>205</v>
      </c>
      <c r="E24" s="18" t="s">
        <v>151</v>
      </c>
      <c r="F24" s="19" t="s">
        <v>206</v>
      </c>
      <c r="G24" s="20" t="n">
        <f aca="false">6 + 4*p_Bath_Full_Gut</f>
        <v>10</v>
      </c>
      <c r="H24" s="23" t="n">
        <f aca="false">LaborCost</f>
        <v>55</v>
      </c>
      <c r="I24" s="22" t="s">
        <v>153</v>
      </c>
      <c r="J24" s="23" t="n">
        <f aca="false">H24*INDEX(MarkupVals,MATCH(I24,MarkupCodes,0))</f>
        <v>100</v>
      </c>
      <c r="K24" s="24" t="n">
        <f aca="false">G24*J24</f>
        <v>1000</v>
      </c>
      <c r="L24" s="23" t="n">
        <f aca="false">LaborCost</f>
        <v>55</v>
      </c>
      <c r="M24" s="22" t="s">
        <v>153</v>
      </c>
      <c r="N24" s="23" t="n">
        <f aca="false">L24*INDEX(MarkupVals,MATCH(M24,MarkupCodes,0))</f>
        <v>100</v>
      </c>
      <c r="O24" s="24" t="n">
        <f aca="false">G24*N24</f>
        <v>1000</v>
      </c>
      <c r="P24" s="23" t="n">
        <f aca="false">LaborCost</f>
        <v>55</v>
      </c>
      <c r="Q24" s="22" t="s">
        <v>153</v>
      </c>
      <c r="R24" s="23" t="n">
        <f aca="false">P24*INDEX(MarkupVals,MATCH(Q24,MarkupCodes,0))</f>
        <v>100</v>
      </c>
      <c r="S24" s="24" t="n">
        <f aca="false">G24*R24</f>
        <v>1000</v>
      </c>
      <c r="T24" s="25"/>
      <c r="U24" s="26" t="s">
        <v>207</v>
      </c>
    </row>
    <row r="25" customFormat="false" ht="15" hidden="false" customHeight="false" outlineLevel="0" collapsed="false">
      <c r="A25" s="18" t="n">
        <v>21</v>
      </c>
      <c r="B25" s="18" t="s">
        <v>208</v>
      </c>
      <c r="C25" s="18" t="s">
        <v>209</v>
      </c>
      <c r="D25" s="18" t="s">
        <v>202</v>
      </c>
      <c r="E25" s="18" t="s">
        <v>144</v>
      </c>
      <c r="F25" s="19" t="s">
        <v>203</v>
      </c>
      <c r="G25" s="20" t="n">
        <f aca="false">1 + p_Bath_Full_Gut</f>
        <v>2</v>
      </c>
      <c r="H25" s="21" t="n">
        <v>120</v>
      </c>
      <c r="I25" s="22" t="s">
        <v>158</v>
      </c>
      <c r="J25" s="23" t="n">
        <f aca="false">H25*INDEX(MarkupVals,MATCH(I25,MarkupCodes,0))</f>
        <v>174</v>
      </c>
      <c r="K25" s="24" t="n">
        <f aca="false">G25*J25</f>
        <v>348</v>
      </c>
      <c r="L25" s="21" t="n">
        <v>120</v>
      </c>
      <c r="M25" s="22" t="s">
        <v>158</v>
      </c>
      <c r="N25" s="23" t="n">
        <f aca="false">L25*INDEX(MarkupVals,MATCH(M25,MarkupCodes,0))</f>
        <v>174</v>
      </c>
      <c r="O25" s="24" t="n">
        <f aca="false">G25*N25</f>
        <v>348</v>
      </c>
      <c r="P25" s="21" t="n">
        <v>120</v>
      </c>
      <c r="Q25" s="22" t="s">
        <v>158</v>
      </c>
      <c r="R25" s="23" t="n">
        <f aca="false">P25*INDEX(MarkupVals,MATCH(Q25,MarkupCodes,0))</f>
        <v>174</v>
      </c>
      <c r="S25" s="24" t="n">
        <f aca="false">G25*R25</f>
        <v>348</v>
      </c>
      <c r="T25" s="25"/>
      <c r="U25" s="26"/>
    </row>
    <row r="26" customFormat="false" ht="15" hidden="false" customHeight="false" outlineLevel="0" collapsed="false">
      <c r="A26" s="18" t="n">
        <v>22</v>
      </c>
      <c r="B26" s="18" t="s">
        <v>208</v>
      </c>
      <c r="C26" s="18" t="s">
        <v>210</v>
      </c>
      <c r="D26" s="18" t="s">
        <v>211</v>
      </c>
      <c r="E26" s="18" t="s">
        <v>151</v>
      </c>
      <c r="F26" s="19" t="s">
        <v>212</v>
      </c>
      <c r="G26" s="20" t="n">
        <f aca="false">3 + 4*p_Bath_Full_Gut</f>
        <v>7</v>
      </c>
      <c r="H26" s="23" t="n">
        <f aca="false">LaborCost</f>
        <v>55</v>
      </c>
      <c r="I26" s="22" t="s">
        <v>153</v>
      </c>
      <c r="J26" s="23" t="n">
        <f aca="false">H26*INDEX(MarkupVals,MATCH(I26,MarkupCodes,0))</f>
        <v>100</v>
      </c>
      <c r="K26" s="24" t="n">
        <f aca="false">G26*J26</f>
        <v>700</v>
      </c>
      <c r="L26" s="23" t="n">
        <f aca="false">LaborCost</f>
        <v>55</v>
      </c>
      <c r="M26" s="22" t="s">
        <v>153</v>
      </c>
      <c r="N26" s="23" t="n">
        <f aca="false">L26*INDEX(MarkupVals,MATCH(M26,MarkupCodes,0))</f>
        <v>100</v>
      </c>
      <c r="O26" s="24" t="n">
        <f aca="false">G26*N26</f>
        <v>700</v>
      </c>
      <c r="P26" s="23" t="n">
        <f aca="false">LaborCost</f>
        <v>55</v>
      </c>
      <c r="Q26" s="22" t="s">
        <v>153</v>
      </c>
      <c r="R26" s="23" t="n">
        <f aca="false">P26*INDEX(MarkupVals,MATCH(Q26,MarkupCodes,0))</f>
        <v>100</v>
      </c>
      <c r="S26" s="24" t="n">
        <f aca="false">G26*R26</f>
        <v>700</v>
      </c>
      <c r="T26" s="25"/>
      <c r="U26" s="26" t="s">
        <v>213</v>
      </c>
    </row>
    <row r="27" customFormat="false" ht="15" hidden="false" customHeight="false" outlineLevel="0" collapsed="false">
      <c r="A27" s="18" t="n">
        <v>23</v>
      </c>
      <c r="B27" s="18" t="s">
        <v>214</v>
      </c>
      <c r="C27" s="18" t="s">
        <v>215</v>
      </c>
      <c r="D27" s="18" t="s">
        <v>202</v>
      </c>
      <c r="E27" s="18" t="s">
        <v>216</v>
      </c>
      <c r="F27" s="19" t="s">
        <v>73</v>
      </c>
      <c r="G27" s="20" t="n">
        <f aca="false">p_Bath_New_Flooring_Area</f>
        <v>60</v>
      </c>
      <c r="H27" s="21" t="n">
        <v>0.75</v>
      </c>
      <c r="I27" s="22" t="s">
        <v>158</v>
      </c>
      <c r="J27" s="23" t="n">
        <f aca="false">H27*INDEX(MarkupVals,MATCH(I27,MarkupCodes,0))</f>
        <v>1.0875</v>
      </c>
      <c r="K27" s="24" t="n">
        <f aca="false">G27*J27</f>
        <v>65.25</v>
      </c>
      <c r="L27" s="21" t="n">
        <v>0.75</v>
      </c>
      <c r="M27" s="22" t="s">
        <v>158</v>
      </c>
      <c r="N27" s="23" t="n">
        <f aca="false">L27*INDEX(MarkupVals,MATCH(M27,MarkupCodes,0))</f>
        <v>1.0875</v>
      </c>
      <c r="O27" s="24" t="n">
        <f aca="false">G27*N27</f>
        <v>65.25</v>
      </c>
      <c r="P27" s="21" t="n">
        <v>0.75</v>
      </c>
      <c r="Q27" s="22" t="s">
        <v>158</v>
      </c>
      <c r="R27" s="23" t="n">
        <f aca="false">P27*INDEX(MarkupVals,MATCH(Q27,MarkupCodes,0))</f>
        <v>1.0875</v>
      </c>
      <c r="S27" s="24" t="n">
        <f aca="false">G27*R27</f>
        <v>65.25</v>
      </c>
      <c r="T27" s="25"/>
      <c r="U27" s="26"/>
    </row>
    <row r="28" customFormat="false" ht="15" hidden="false" customHeight="false" outlineLevel="0" collapsed="false">
      <c r="A28" s="18" t="n">
        <v>24</v>
      </c>
      <c r="B28" s="18" t="s">
        <v>217</v>
      </c>
      <c r="C28" s="18" t="s">
        <v>218</v>
      </c>
      <c r="D28" s="18" t="s">
        <v>219</v>
      </c>
      <c r="E28" s="18" t="s">
        <v>151</v>
      </c>
      <c r="F28" s="19" t="s">
        <v>220</v>
      </c>
      <c r="G28" s="20" t="n">
        <f aca="false">2*ROUNDUP(p_Bath_Vanity_Length/100,0) + p_Bath_Vanity_Length</f>
        <v>5</v>
      </c>
      <c r="H28" s="23" t="n">
        <f aca="false">LaborCost</f>
        <v>55</v>
      </c>
      <c r="I28" s="22" t="s">
        <v>153</v>
      </c>
      <c r="J28" s="23" t="n">
        <f aca="false">H28*INDEX(MarkupVals,MATCH(I28,MarkupCodes,0))</f>
        <v>100</v>
      </c>
      <c r="K28" s="24" t="n">
        <f aca="false">G28*J28</f>
        <v>500</v>
      </c>
      <c r="L28" s="23" t="n">
        <f aca="false">LaborCost</f>
        <v>55</v>
      </c>
      <c r="M28" s="22" t="s">
        <v>153</v>
      </c>
      <c r="N28" s="23" t="n">
        <f aca="false">L28*INDEX(MarkupVals,MATCH(M28,MarkupCodes,0))</f>
        <v>100</v>
      </c>
      <c r="O28" s="24" t="n">
        <f aca="false">G28*N28</f>
        <v>500</v>
      </c>
      <c r="P28" s="23" t="n">
        <f aca="false">LaborCost</f>
        <v>55</v>
      </c>
      <c r="Q28" s="22" t="s">
        <v>153</v>
      </c>
      <c r="R28" s="23" t="n">
        <f aca="false">P28*INDEX(MarkupVals,MATCH(Q28,MarkupCodes,0))</f>
        <v>100</v>
      </c>
      <c r="S28" s="24" t="n">
        <f aca="false">G28*R28</f>
        <v>500</v>
      </c>
      <c r="T28" s="25"/>
      <c r="U28" s="26" t="s">
        <v>221</v>
      </c>
    </row>
    <row r="29" customFormat="false" ht="15" hidden="false" customHeight="false" outlineLevel="0" collapsed="false">
      <c r="A29" s="18" t="n">
        <v>25</v>
      </c>
      <c r="B29" s="18" t="s">
        <v>217</v>
      </c>
      <c r="C29" s="18" t="s">
        <v>222</v>
      </c>
      <c r="D29" s="18" t="s">
        <v>219</v>
      </c>
      <c r="E29" s="18" t="s">
        <v>157</v>
      </c>
      <c r="F29" s="19" t="s">
        <v>223</v>
      </c>
      <c r="G29" s="20" t="n">
        <f aca="false">ROUNDUP(1.5*p_Bath_Vanity_Length,0)</f>
        <v>5</v>
      </c>
      <c r="H29" s="21" t="n">
        <v>10</v>
      </c>
      <c r="I29" s="22" t="s">
        <v>158</v>
      </c>
      <c r="J29" s="23" t="n">
        <f aca="false">H29*INDEX(MarkupVals,MATCH(I29,MarkupCodes,0))</f>
        <v>14.5</v>
      </c>
      <c r="K29" s="24" t="n">
        <f aca="false">G29*J29</f>
        <v>72.5</v>
      </c>
      <c r="L29" s="21" t="n">
        <v>10</v>
      </c>
      <c r="M29" s="22" t="s">
        <v>158</v>
      </c>
      <c r="N29" s="23" t="n">
        <f aca="false">L29*INDEX(MarkupVals,MATCH(M29,MarkupCodes,0))</f>
        <v>14.5</v>
      </c>
      <c r="O29" s="24" t="n">
        <f aca="false">G29*N29</f>
        <v>72.5</v>
      </c>
      <c r="P29" s="21" t="n">
        <v>10</v>
      </c>
      <c r="Q29" s="22" t="s">
        <v>158</v>
      </c>
      <c r="R29" s="23" t="n">
        <f aca="false">P29*INDEX(MarkupVals,MATCH(Q29,MarkupCodes,0))</f>
        <v>14.5</v>
      </c>
      <c r="S29" s="24" t="n">
        <f aca="false">G29*R29</f>
        <v>72.5</v>
      </c>
      <c r="T29" s="25"/>
      <c r="U29" s="26"/>
    </row>
    <row r="30" customFormat="false" ht="15" hidden="false" customHeight="false" outlineLevel="0" collapsed="false">
      <c r="A30" s="18" t="n">
        <v>26</v>
      </c>
      <c r="B30" s="18" t="s">
        <v>224</v>
      </c>
      <c r="C30" s="18" t="s">
        <v>225</v>
      </c>
      <c r="D30" s="18" t="s">
        <v>183</v>
      </c>
      <c r="E30" s="18" t="s">
        <v>157</v>
      </c>
      <c r="F30" s="19" t="s">
        <v>42</v>
      </c>
      <c r="G30" s="20" t="n">
        <f aca="false">p_Bath_Full_Gut</f>
        <v>1</v>
      </c>
      <c r="H30" s="21" t="n">
        <v>20</v>
      </c>
      <c r="I30" s="22" t="s">
        <v>158</v>
      </c>
      <c r="J30" s="23" t="n">
        <f aca="false">H30*INDEX(MarkupVals,MATCH(I30,MarkupCodes,0))</f>
        <v>29</v>
      </c>
      <c r="K30" s="24" t="n">
        <f aca="false">G30*J30</f>
        <v>29</v>
      </c>
      <c r="L30" s="21" t="n">
        <v>20</v>
      </c>
      <c r="M30" s="22" t="s">
        <v>158</v>
      </c>
      <c r="N30" s="23" t="n">
        <f aca="false">L30*INDEX(MarkupVals,MATCH(M30,MarkupCodes,0))</f>
        <v>29</v>
      </c>
      <c r="O30" s="24" t="n">
        <f aca="false">G30*N30</f>
        <v>29</v>
      </c>
      <c r="P30" s="21" t="n">
        <v>20</v>
      </c>
      <c r="Q30" s="22" t="s">
        <v>158</v>
      </c>
      <c r="R30" s="23" t="n">
        <f aca="false">P30*INDEX(MarkupVals,MATCH(Q30,MarkupCodes,0))</f>
        <v>29</v>
      </c>
      <c r="S30" s="24" t="n">
        <f aca="false">G30*R30</f>
        <v>29</v>
      </c>
      <c r="T30" s="25"/>
      <c r="U30" s="26"/>
    </row>
    <row r="31" customFormat="false" ht="15" hidden="false" customHeight="false" outlineLevel="0" collapsed="false">
      <c r="A31" s="18" t="n">
        <v>27</v>
      </c>
      <c r="B31" s="18" t="s">
        <v>226</v>
      </c>
      <c r="C31" s="18" t="s">
        <v>227</v>
      </c>
      <c r="D31" s="18" t="s">
        <v>228</v>
      </c>
      <c r="E31" s="18" t="s">
        <v>157</v>
      </c>
      <c r="F31" s="19" t="s">
        <v>99</v>
      </c>
      <c r="G31" s="20" t="n">
        <f aca="false">p_Bath_Interior_Doors</f>
        <v>0</v>
      </c>
      <c r="H31" s="21" t="n">
        <v>400</v>
      </c>
      <c r="I31" s="22" t="s">
        <v>158</v>
      </c>
      <c r="J31" s="23" t="n">
        <f aca="false">H31*INDEX(MarkupVals,MATCH(I31,MarkupCodes,0))</f>
        <v>580</v>
      </c>
      <c r="K31" s="24" t="n">
        <f aca="false">G31*J31</f>
        <v>0</v>
      </c>
      <c r="L31" s="21" t="n">
        <v>400</v>
      </c>
      <c r="M31" s="22" t="s">
        <v>158</v>
      </c>
      <c r="N31" s="23" t="n">
        <f aca="false">L31*INDEX(MarkupVals,MATCH(M31,MarkupCodes,0))</f>
        <v>580</v>
      </c>
      <c r="O31" s="24" t="n">
        <f aca="false">G31*N31</f>
        <v>0</v>
      </c>
      <c r="P31" s="21" t="n">
        <v>400</v>
      </c>
      <c r="Q31" s="22" t="s">
        <v>158</v>
      </c>
      <c r="R31" s="23" t="n">
        <f aca="false">P31*INDEX(MarkupVals,MATCH(Q31,MarkupCodes,0))</f>
        <v>580</v>
      </c>
      <c r="S31" s="24" t="n">
        <f aca="false">G31*R31</f>
        <v>0</v>
      </c>
      <c r="T31" s="25"/>
      <c r="U31" s="26"/>
    </row>
    <row r="32" customFormat="false" ht="15" hidden="false" customHeight="false" outlineLevel="0" collapsed="false">
      <c r="A32" s="18" t="n">
        <v>28</v>
      </c>
      <c r="B32" s="18" t="s">
        <v>226</v>
      </c>
      <c r="C32" s="18" t="s">
        <v>229</v>
      </c>
      <c r="D32" s="18" t="s">
        <v>228</v>
      </c>
      <c r="E32" s="18" t="s">
        <v>157</v>
      </c>
      <c r="F32" s="19" t="s">
        <v>102</v>
      </c>
      <c r="G32" s="20" t="n">
        <f aca="false">p_Bath_Pocket_Doors</f>
        <v>0</v>
      </c>
      <c r="H32" s="21" t="n">
        <v>500</v>
      </c>
      <c r="I32" s="22" t="s">
        <v>158</v>
      </c>
      <c r="J32" s="23" t="n">
        <f aca="false">H32*INDEX(MarkupVals,MATCH(I32,MarkupCodes,0))</f>
        <v>725</v>
      </c>
      <c r="K32" s="24" t="n">
        <f aca="false">G32*J32</f>
        <v>0</v>
      </c>
      <c r="L32" s="21" t="n">
        <v>500</v>
      </c>
      <c r="M32" s="22" t="s">
        <v>158</v>
      </c>
      <c r="N32" s="23" t="n">
        <f aca="false">L32*INDEX(MarkupVals,MATCH(M32,MarkupCodes,0))</f>
        <v>725</v>
      </c>
      <c r="O32" s="24" t="n">
        <f aca="false">G32*N32</f>
        <v>0</v>
      </c>
      <c r="P32" s="21" t="n">
        <v>500</v>
      </c>
      <c r="Q32" s="22" t="s">
        <v>158</v>
      </c>
      <c r="R32" s="23" t="n">
        <f aca="false">P32*INDEX(MarkupVals,MATCH(Q32,MarkupCodes,0))</f>
        <v>725</v>
      </c>
      <c r="S32" s="24" t="n">
        <f aca="false">G32*R32</f>
        <v>0</v>
      </c>
      <c r="T32" s="25"/>
      <c r="U32" s="26"/>
    </row>
    <row r="33" customFormat="false" ht="15" hidden="false" customHeight="false" outlineLevel="0" collapsed="false">
      <c r="A33" s="18" t="n">
        <v>29</v>
      </c>
      <c r="B33" s="18" t="s">
        <v>226</v>
      </c>
      <c r="C33" s="18" t="s">
        <v>230</v>
      </c>
      <c r="D33" s="18" t="s">
        <v>228</v>
      </c>
      <c r="E33" s="18" t="s">
        <v>151</v>
      </c>
      <c r="F33" s="19" t="s">
        <v>231</v>
      </c>
      <c r="G33" s="20" t="n">
        <f aca="false">3*p_Bath_Interior_Doors + 8*p_Bath_Pocket_Doors</f>
        <v>0</v>
      </c>
      <c r="H33" s="23" t="n">
        <f aca="false">LaborCost</f>
        <v>55</v>
      </c>
      <c r="I33" s="22" t="s">
        <v>153</v>
      </c>
      <c r="J33" s="23" t="n">
        <f aca="false">H33*INDEX(MarkupVals,MATCH(I33,MarkupCodes,0))</f>
        <v>100</v>
      </c>
      <c r="K33" s="24" t="n">
        <f aca="false">G33*J33</f>
        <v>0</v>
      </c>
      <c r="L33" s="23" t="n">
        <f aca="false">LaborCost</f>
        <v>55</v>
      </c>
      <c r="M33" s="22" t="s">
        <v>153</v>
      </c>
      <c r="N33" s="23" t="n">
        <f aca="false">L33*INDEX(MarkupVals,MATCH(M33,MarkupCodes,0))</f>
        <v>100</v>
      </c>
      <c r="O33" s="24" t="n">
        <f aca="false">G33*N33</f>
        <v>0</v>
      </c>
      <c r="P33" s="23" t="n">
        <f aca="false">LaborCost</f>
        <v>55</v>
      </c>
      <c r="Q33" s="22" t="s">
        <v>153</v>
      </c>
      <c r="R33" s="23" t="n">
        <f aca="false">P33*INDEX(MarkupVals,MATCH(Q33,MarkupCodes,0))</f>
        <v>100</v>
      </c>
      <c r="S33" s="24" t="n">
        <f aca="false">G33*R33</f>
        <v>0</v>
      </c>
      <c r="T33" s="25"/>
      <c r="U33" s="26"/>
    </row>
    <row r="34" customFormat="false" ht="15" hidden="false" customHeight="false" outlineLevel="0" collapsed="false">
      <c r="A34" s="18" t="n">
        <v>30</v>
      </c>
      <c r="B34" s="18" t="s">
        <v>232</v>
      </c>
      <c r="C34" s="18" t="s">
        <v>233</v>
      </c>
      <c r="D34" s="18" t="s">
        <v>176</v>
      </c>
      <c r="E34" s="18" t="s">
        <v>144</v>
      </c>
      <c r="F34" s="19" t="s">
        <v>234</v>
      </c>
      <c r="G34" s="20" t="n">
        <f aca="false">1 + p_Bath_Interior_Doors + p_Bath_Pocket_Doors + p_Bath_Full_Gut*ROUNDUP(p_Bath_Floor_Area/30,0)</f>
        <v>3</v>
      </c>
      <c r="H34" s="21" t="n">
        <v>40</v>
      </c>
      <c r="I34" s="22" t="s">
        <v>158</v>
      </c>
      <c r="J34" s="23" t="n">
        <f aca="false">H34*INDEX(MarkupVals,MATCH(I34,MarkupCodes,0))</f>
        <v>58</v>
      </c>
      <c r="K34" s="24" t="n">
        <f aca="false">G34*J34</f>
        <v>174</v>
      </c>
      <c r="L34" s="21" t="n">
        <v>40</v>
      </c>
      <c r="M34" s="22" t="s">
        <v>158</v>
      </c>
      <c r="N34" s="23" t="n">
        <f aca="false">L34*INDEX(MarkupVals,MATCH(M34,MarkupCodes,0))</f>
        <v>58</v>
      </c>
      <c r="O34" s="24" t="n">
        <f aca="false">G34*N34</f>
        <v>174</v>
      </c>
      <c r="P34" s="21" t="n">
        <v>40</v>
      </c>
      <c r="Q34" s="22" t="s">
        <v>158</v>
      </c>
      <c r="R34" s="23" t="n">
        <f aca="false">P34*INDEX(MarkupVals,MATCH(Q34,MarkupCodes,0))</f>
        <v>58</v>
      </c>
      <c r="S34" s="24" t="n">
        <f aca="false">G34*R34</f>
        <v>174</v>
      </c>
      <c r="T34" s="25"/>
      <c r="U34" s="26"/>
    </row>
    <row r="35" customFormat="false" ht="15" hidden="false" customHeight="false" outlineLevel="0" collapsed="false">
      <c r="A35" s="18" t="n">
        <v>31</v>
      </c>
      <c r="B35" s="18" t="s">
        <v>232</v>
      </c>
      <c r="C35" s="18" t="s">
        <v>235</v>
      </c>
      <c r="D35" s="18" t="s">
        <v>236</v>
      </c>
      <c r="E35" s="18" t="s">
        <v>151</v>
      </c>
      <c r="F35" s="19" t="s">
        <v>237</v>
      </c>
      <c r="G35" s="20" t="n">
        <f aca="false">1 + 3*p_Bath_Full_Gut + p_Bath_Interior_Doors + p_Bath_Pocket_Doors</f>
        <v>4</v>
      </c>
      <c r="H35" s="23" t="n">
        <f aca="false">LaborCost</f>
        <v>55</v>
      </c>
      <c r="I35" s="22" t="s">
        <v>153</v>
      </c>
      <c r="J35" s="23" t="n">
        <f aca="false">H35*INDEX(MarkupVals,MATCH(I35,MarkupCodes,0))</f>
        <v>100</v>
      </c>
      <c r="K35" s="24" t="n">
        <f aca="false">G35*J35</f>
        <v>400</v>
      </c>
      <c r="L35" s="23" t="n">
        <f aca="false">LaborCost</f>
        <v>55</v>
      </c>
      <c r="M35" s="22" t="s">
        <v>153</v>
      </c>
      <c r="N35" s="23" t="n">
        <f aca="false">L35*INDEX(MarkupVals,MATCH(M35,MarkupCodes,0))</f>
        <v>100</v>
      </c>
      <c r="O35" s="24" t="n">
        <f aca="false">G35*N35</f>
        <v>400</v>
      </c>
      <c r="P35" s="23" t="n">
        <f aca="false">LaborCost</f>
        <v>55</v>
      </c>
      <c r="Q35" s="22" t="s">
        <v>153</v>
      </c>
      <c r="R35" s="23" t="n">
        <f aca="false">P35*INDEX(MarkupVals,MATCH(Q35,MarkupCodes,0))</f>
        <v>100</v>
      </c>
      <c r="S35" s="24" t="n">
        <f aca="false">G35*R35</f>
        <v>400</v>
      </c>
      <c r="T35" s="25"/>
      <c r="U35" s="26"/>
    </row>
    <row r="36" customFormat="false" ht="15" hidden="false" customHeight="false" outlineLevel="0" collapsed="false">
      <c r="A36" s="18" t="n">
        <v>32</v>
      </c>
      <c r="B36" s="18" t="s">
        <v>238</v>
      </c>
      <c r="C36" s="18" t="s">
        <v>239</v>
      </c>
      <c r="D36" s="18" t="s">
        <v>240</v>
      </c>
      <c r="E36" s="18" t="s">
        <v>157</v>
      </c>
      <c r="F36" s="19" t="s">
        <v>105</v>
      </c>
      <c r="G36" s="20" t="n">
        <f aca="false">p_Bath_Grab_Bars</f>
        <v>0</v>
      </c>
      <c r="H36" s="21" t="n">
        <v>120</v>
      </c>
      <c r="I36" s="22" t="s">
        <v>158</v>
      </c>
      <c r="J36" s="23" t="n">
        <f aca="false">H36*INDEX(MarkupVals,MATCH(I36,MarkupCodes,0))</f>
        <v>174</v>
      </c>
      <c r="K36" s="24" t="n">
        <f aca="false">G36*J36</f>
        <v>0</v>
      </c>
      <c r="L36" s="21" t="n">
        <v>120</v>
      </c>
      <c r="M36" s="22" t="s">
        <v>158</v>
      </c>
      <c r="N36" s="23" t="n">
        <f aca="false">L36*INDEX(MarkupVals,MATCH(M36,MarkupCodes,0))</f>
        <v>174</v>
      </c>
      <c r="O36" s="24" t="n">
        <f aca="false">G36*N36</f>
        <v>0</v>
      </c>
      <c r="P36" s="21" t="n">
        <v>120</v>
      </c>
      <c r="Q36" s="22" t="s">
        <v>158</v>
      </c>
      <c r="R36" s="23" t="n">
        <f aca="false">P36*INDEX(MarkupVals,MATCH(Q36,MarkupCodes,0))</f>
        <v>174</v>
      </c>
      <c r="S36" s="24" t="n">
        <f aca="false">G36*R36</f>
        <v>0</v>
      </c>
      <c r="T36" s="25"/>
      <c r="U36" s="26"/>
    </row>
    <row r="37" customFormat="false" ht="15" hidden="false" customHeight="false" outlineLevel="0" collapsed="false">
      <c r="A37" s="18" t="n">
        <v>33</v>
      </c>
      <c r="B37" s="18" t="s">
        <v>238</v>
      </c>
      <c r="C37" s="18" t="s">
        <v>241</v>
      </c>
      <c r="D37" s="18" t="s">
        <v>242</v>
      </c>
      <c r="E37" s="18" t="s">
        <v>151</v>
      </c>
      <c r="F37" s="19" t="s">
        <v>243</v>
      </c>
      <c r="G37" s="20" t="n">
        <f aca="false">2 + p_Bath_Grab_Bars</f>
        <v>2</v>
      </c>
      <c r="H37" s="23" t="n">
        <f aca="false">LaborCost</f>
        <v>55</v>
      </c>
      <c r="I37" s="22" t="s">
        <v>153</v>
      </c>
      <c r="J37" s="23" t="n">
        <f aca="false">H37*INDEX(MarkupVals,MATCH(I37,MarkupCodes,0))</f>
        <v>100</v>
      </c>
      <c r="K37" s="24" t="n">
        <f aca="false">G37*J37</f>
        <v>200</v>
      </c>
      <c r="L37" s="23" t="n">
        <f aca="false">LaborCost</f>
        <v>55</v>
      </c>
      <c r="M37" s="22" t="s">
        <v>153</v>
      </c>
      <c r="N37" s="23" t="n">
        <f aca="false">L37*INDEX(MarkupVals,MATCH(M37,MarkupCodes,0))</f>
        <v>100</v>
      </c>
      <c r="O37" s="24" t="n">
        <f aca="false">G37*N37</f>
        <v>200</v>
      </c>
      <c r="P37" s="23" t="n">
        <f aca="false">LaborCost</f>
        <v>55</v>
      </c>
      <c r="Q37" s="22" t="s">
        <v>153</v>
      </c>
      <c r="R37" s="23" t="n">
        <f aca="false">P37*INDEX(MarkupVals,MATCH(Q37,MarkupCodes,0))</f>
        <v>100</v>
      </c>
      <c r="S37" s="24" t="n">
        <f aca="false">G37*R37</f>
        <v>200</v>
      </c>
      <c r="T37" s="25"/>
      <c r="U37" s="26"/>
    </row>
    <row r="38" customFormat="false" ht="15" hidden="false" customHeight="false" outlineLevel="0" collapsed="false">
      <c r="A38" s="18" t="n">
        <v>34</v>
      </c>
      <c r="B38" s="18" t="s">
        <v>244</v>
      </c>
      <c r="C38" s="18" t="s">
        <v>245</v>
      </c>
      <c r="D38" s="18" t="s">
        <v>240</v>
      </c>
      <c r="E38" s="18" t="s">
        <v>157</v>
      </c>
      <c r="F38" s="19" t="s">
        <v>46</v>
      </c>
      <c r="G38" s="20" t="n">
        <f aca="false">p_Bath_Walk_In_Shower</f>
        <v>1</v>
      </c>
      <c r="H38" s="21" t="n">
        <v>1390</v>
      </c>
      <c r="I38" s="22" t="s">
        <v>158</v>
      </c>
      <c r="J38" s="23" t="n">
        <f aca="false">H38*INDEX(MarkupVals,MATCH(I38,MarkupCodes,0))</f>
        <v>2015.5</v>
      </c>
      <c r="K38" s="24" t="n">
        <f aca="false">G38*J38</f>
        <v>2015.5</v>
      </c>
      <c r="L38" s="21" t="n">
        <v>3380</v>
      </c>
      <c r="M38" s="22" t="s">
        <v>158</v>
      </c>
      <c r="N38" s="23" t="n">
        <f aca="false">L38*INDEX(MarkupVals,MATCH(M38,MarkupCodes,0))</f>
        <v>4901</v>
      </c>
      <c r="O38" s="24" t="n">
        <f aca="false">G38*N38</f>
        <v>4901</v>
      </c>
      <c r="P38" s="21" t="n">
        <v>8800</v>
      </c>
      <c r="Q38" s="22" t="s">
        <v>246</v>
      </c>
      <c r="R38" s="23" t="n">
        <f aca="false">P38*INDEX(MarkupVals,MATCH(Q38,MarkupCodes,0))</f>
        <v>11440</v>
      </c>
      <c r="S38" s="24" t="n">
        <f aca="false">G38*R38</f>
        <v>11440</v>
      </c>
      <c r="T38" s="25" t="s">
        <v>247</v>
      </c>
      <c r="U38" s="26" t="s">
        <v>248</v>
      </c>
    </row>
    <row r="39" customFormat="false" ht="15" hidden="false" customHeight="false" outlineLevel="0" collapsed="false">
      <c r="A39" s="18" t="n">
        <v>35</v>
      </c>
      <c r="B39" s="18" t="s">
        <v>244</v>
      </c>
      <c r="C39" s="18" t="s">
        <v>249</v>
      </c>
      <c r="D39" s="18" t="s">
        <v>240</v>
      </c>
      <c r="E39" s="18" t="s">
        <v>157</v>
      </c>
      <c r="F39" s="19" t="s">
        <v>46</v>
      </c>
      <c r="G39" s="20" t="n">
        <f aca="false">p_Bath_Walk_In_Shower</f>
        <v>1</v>
      </c>
      <c r="H39" s="21" t="n">
        <v>480</v>
      </c>
      <c r="I39" s="22" t="s">
        <v>158</v>
      </c>
      <c r="J39" s="23" t="n">
        <f aca="false">H39*INDEX(MarkupVals,MATCH(I39,MarkupCodes,0))</f>
        <v>696</v>
      </c>
      <c r="K39" s="24" t="n">
        <f aca="false">G39*J39</f>
        <v>696</v>
      </c>
      <c r="L39" s="21" t="n">
        <v>1860</v>
      </c>
      <c r="M39" s="22" t="s">
        <v>158</v>
      </c>
      <c r="N39" s="23" t="n">
        <f aca="false">L39*INDEX(MarkupVals,MATCH(M39,MarkupCodes,0))</f>
        <v>2697</v>
      </c>
      <c r="O39" s="24" t="n">
        <f aca="false">G39*N39</f>
        <v>2697</v>
      </c>
      <c r="P39" s="21" t="n">
        <v>3080</v>
      </c>
      <c r="Q39" s="22" t="s">
        <v>246</v>
      </c>
      <c r="R39" s="23" t="n">
        <f aca="false">P39*INDEX(MarkupVals,MATCH(Q39,MarkupCodes,0))</f>
        <v>4004</v>
      </c>
      <c r="S39" s="24" t="n">
        <f aca="false">G39*R39</f>
        <v>4004</v>
      </c>
      <c r="T39" s="25" t="s">
        <v>247</v>
      </c>
      <c r="U39" s="26" t="s">
        <v>250</v>
      </c>
    </row>
    <row r="40" customFormat="false" ht="15" hidden="false" customHeight="false" outlineLevel="0" collapsed="false">
      <c r="A40" s="18" t="n">
        <v>36</v>
      </c>
      <c r="B40" s="18" t="s">
        <v>244</v>
      </c>
      <c r="C40" s="18" t="s">
        <v>251</v>
      </c>
      <c r="D40" s="18" t="s">
        <v>240</v>
      </c>
      <c r="E40" s="18" t="s">
        <v>157</v>
      </c>
      <c r="F40" s="19" t="s">
        <v>50</v>
      </c>
      <c r="G40" s="20" t="n">
        <f aca="false">p_Bath_Tub_Shower_Combo</f>
        <v>0</v>
      </c>
      <c r="H40" s="21" t="n">
        <v>1140</v>
      </c>
      <c r="I40" s="22" t="s">
        <v>158</v>
      </c>
      <c r="J40" s="23" t="n">
        <f aca="false">H40*INDEX(MarkupVals,MATCH(I40,MarkupCodes,0))</f>
        <v>1653</v>
      </c>
      <c r="K40" s="24" t="n">
        <f aca="false">G40*J40</f>
        <v>0</v>
      </c>
      <c r="L40" s="21" t="n">
        <v>1725</v>
      </c>
      <c r="M40" s="22" t="s">
        <v>158</v>
      </c>
      <c r="N40" s="23" t="n">
        <f aca="false">L40*INDEX(MarkupVals,MATCH(M40,MarkupCodes,0))</f>
        <v>2501.25</v>
      </c>
      <c r="O40" s="24" t="n">
        <f aca="false">G40*N40</f>
        <v>0</v>
      </c>
      <c r="P40" s="21" t="n">
        <v>2760</v>
      </c>
      <c r="Q40" s="22" t="s">
        <v>158</v>
      </c>
      <c r="R40" s="23" t="n">
        <f aca="false">P40*INDEX(MarkupVals,MATCH(Q40,MarkupCodes,0))</f>
        <v>4002</v>
      </c>
      <c r="S40" s="24" t="n">
        <f aca="false">G40*R40</f>
        <v>0</v>
      </c>
      <c r="T40" s="25" t="s">
        <v>247</v>
      </c>
      <c r="U40" s="26"/>
    </row>
    <row r="41" customFormat="false" ht="15" hidden="false" customHeight="false" outlineLevel="0" collapsed="false">
      <c r="A41" s="18" t="n">
        <v>37</v>
      </c>
      <c r="B41" s="18" t="s">
        <v>244</v>
      </c>
      <c r="C41" s="18" t="s">
        <v>252</v>
      </c>
      <c r="D41" s="18" t="s">
        <v>240</v>
      </c>
      <c r="E41" s="18" t="s">
        <v>157</v>
      </c>
      <c r="F41" s="19" t="s">
        <v>50</v>
      </c>
      <c r="G41" s="20" t="n">
        <f aca="false">p_Bath_Tub_Shower_Combo</f>
        <v>0</v>
      </c>
      <c r="H41" s="21" t="n">
        <v>345</v>
      </c>
      <c r="I41" s="22" t="s">
        <v>158</v>
      </c>
      <c r="J41" s="23" t="n">
        <f aca="false">H41*INDEX(MarkupVals,MATCH(I41,MarkupCodes,0))</f>
        <v>500.25</v>
      </c>
      <c r="K41" s="24" t="n">
        <f aca="false">G41*J41</f>
        <v>0</v>
      </c>
      <c r="L41" s="21" t="n">
        <v>760</v>
      </c>
      <c r="M41" s="22" t="s">
        <v>158</v>
      </c>
      <c r="N41" s="23" t="n">
        <f aca="false">L41*INDEX(MarkupVals,MATCH(M41,MarkupCodes,0))</f>
        <v>1102</v>
      </c>
      <c r="O41" s="24" t="n">
        <f aca="false">G41*N41</f>
        <v>0</v>
      </c>
      <c r="P41" s="21" t="n">
        <v>1100</v>
      </c>
      <c r="Q41" s="22" t="s">
        <v>158</v>
      </c>
      <c r="R41" s="23" t="n">
        <f aca="false">P41*INDEX(MarkupVals,MATCH(Q41,MarkupCodes,0))</f>
        <v>1595</v>
      </c>
      <c r="S41" s="24" t="n">
        <f aca="false">G41*R41</f>
        <v>0</v>
      </c>
      <c r="T41" s="25" t="s">
        <v>247</v>
      </c>
      <c r="U41" s="26"/>
    </row>
    <row r="42" customFormat="false" ht="15" hidden="false" customHeight="false" outlineLevel="0" collapsed="false">
      <c r="A42" s="18" t="n">
        <v>38</v>
      </c>
      <c r="B42" s="18" t="s">
        <v>244</v>
      </c>
      <c r="C42" s="18" t="s">
        <v>253</v>
      </c>
      <c r="D42" s="18" t="s">
        <v>183</v>
      </c>
      <c r="E42" s="18" t="s">
        <v>157</v>
      </c>
      <c r="F42" s="19" t="s">
        <v>254</v>
      </c>
      <c r="G42" s="20" t="n">
        <f aca="false">p_Bath_Walk_In_Shower + p_Bath_Tub_Shower_Combo</f>
        <v>1</v>
      </c>
      <c r="H42" s="21" t="n">
        <v>345</v>
      </c>
      <c r="I42" s="22" t="s">
        <v>158</v>
      </c>
      <c r="J42" s="23" t="n">
        <f aca="false">H42*INDEX(MarkupVals,MATCH(I42,MarkupCodes,0))</f>
        <v>500.25</v>
      </c>
      <c r="K42" s="24" t="n">
        <f aca="false">G42*J42</f>
        <v>500.25</v>
      </c>
      <c r="L42" s="21" t="n">
        <v>620</v>
      </c>
      <c r="M42" s="22" t="s">
        <v>158</v>
      </c>
      <c r="N42" s="23" t="n">
        <f aca="false">L42*INDEX(MarkupVals,MATCH(M42,MarkupCodes,0))</f>
        <v>899</v>
      </c>
      <c r="O42" s="24" t="n">
        <f aca="false">G42*N42</f>
        <v>899</v>
      </c>
      <c r="P42" s="21" t="n">
        <v>1000</v>
      </c>
      <c r="Q42" s="22" t="s">
        <v>158</v>
      </c>
      <c r="R42" s="23" t="n">
        <f aca="false">P42*INDEX(MarkupVals,MATCH(Q42,MarkupCodes,0))</f>
        <v>1450</v>
      </c>
      <c r="S42" s="24" t="n">
        <f aca="false">G42*R42</f>
        <v>1450</v>
      </c>
      <c r="T42" s="25" t="s">
        <v>247</v>
      </c>
      <c r="U42" s="26"/>
    </row>
    <row r="43" customFormat="false" ht="15" hidden="false" customHeight="false" outlineLevel="0" collapsed="false">
      <c r="A43" s="18" t="n">
        <v>39</v>
      </c>
      <c r="B43" s="18" t="s">
        <v>255</v>
      </c>
      <c r="C43" s="18" t="s">
        <v>256</v>
      </c>
      <c r="D43" s="18" t="s">
        <v>242</v>
      </c>
      <c r="E43" s="18" t="s">
        <v>151</v>
      </c>
      <c r="F43" s="19" t="s">
        <v>257</v>
      </c>
      <c r="G43" s="20" t="n">
        <f aca="false">12*p_Bath_Walk_In_Shower + 10*p_Bath_Tub_Shower_Combo</f>
        <v>12</v>
      </c>
      <c r="H43" s="23" t="n">
        <f aca="false">LaborCost</f>
        <v>55</v>
      </c>
      <c r="I43" s="22" t="s">
        <v>153</v>
      </c>
      <c r="J43" s="23" t="n">
        <f aca="false">H43*INDEX(MarkupVals,MATCH(I43,MarkupCodes,0))</f>
        <v>100</v>
      </c>
      <c r="K43" s="24" t="n">
        <f aca="false">G43*J43</f>
        <v>1200</v>
      </c>
      <c r="L43" s="21" t="n">
        <v>0</v>
      </c>
      <c r="M43" s="22" t="s">
        <v>153</v>
      </c>
      <c r="N43" s="23" t="n">
        <f aca="false">L43*INDEX(MarkupVals,MATCH(M43,MarkupCodes,0))</f>
        <v>0</v>
      </c>
      <c r="O43" s="24" t="n">
        <f aca="false">G43*N43</f>
        <v>0</v>
      </c>
      <c r="P43" s="21" t="n">
        <v>0</v>
      </c>
      <c r="Q43" s="22" t="s">
        <v>153</v>
      </c>
      <c r="R43" s="23" t="n">
        <f aca="false">P43*INDEX(MarkupVals,MATCH(Q43,MarkupCodes,0))</f>
        <v>0</v>
      </c>
      <c r="S43" s="24" t="n">
        <f aca="false">G43*R43</f>
        <v>0</v>
      </c>
      <c r="T43" s="25"/>
      <c r="U43" s="26" t="s">
        <v>258</v>
      </c>
    </row>
    <row r="44" customFormat="false" ht="15" hidden="false" customHeight="false" outlineLevel="0" collapsed="false">
      <c r="A44" s="18" t="n">
        <v>40</v>
      </c>
      <c r="B44" s="18" t="s">
        <v>259</v>
      </c>
      <c r="C44" s="18" t="s">
        <v>260</v>
      </c>
      <c r="D44" s="18" t="s">
        <v>242</v>
      </c>
      <c r="E44" s="18" t="s">
        <v>151</v>
      </c>
      <c r="F44" s="19" t="s">
        <v>261</v>
      </c>
      <c r="G44" s="20" t="n">
        <f aca="false">24*p_Bath_Walk_In_Shower + 10*p_Bath_Tub_Shower_Combo</f>
        <v>24</v>
      </c>
      <c r="H44" s="21" t="n">
        <v>0</v>
      </c>
      <c r="I44" s="22" t="s">
        <v>153</v>
      </c>
      <c r="J44" s="23" t="n">
        <f aca="false">H44*INDEX(MarkupVals,MATCH(I44,MarkupCodes,0))</f>
        <v>0</v>
      </c>
      <c r="K44" s="24" t="n">
        <f aca="false">G44*J44</f>
        <v>0</v>
      </c>
      <c r="L44" s="23" t="n">
        <f aca="false">LaborCost</f>
        <v>55</v>
      </c>
      <c r="M44" s="22" t="s">
        <v>153</v>
      </c>
      <c r="N44" s="23" t="n">
        <f aca="false">L44*INDEX(MarkupVals,MATCH(M44,MarkupCodes,0))</f>
        <v>100</v>
      </c>
      <c r="O44" s="24" t="n">
        <f aca="false">G44*N44</f>
        <v>2400</v>
      </c>
      <c r="P44" s="21" t="n">
        <v>0</v>
      </c>
      <c r="Q44" s="22" t="s">
        <v>153</v>
      </c>
      <c r="R44" s="23" t="n">
        <f aca="false">P44*INDEX(MarkupVals,MATCH(Q44,MarkupCodes,0))</f>
        <v>0</v>
      </c>
      <c r="S44" s="24" t="n">
        <f aca="false">G44*R44</f>
        <v>0</v>
      </c>
      <c r="T44" s="25"/>
      <c r="U44" s="26" t="s">
        <v>258</v>
      </c>
    </row>
    <row r="45" customFormat="false" ht="15" hidden="false" customHeight="false" outlineLevel="0" collapsed="false">
      <c r="A45" s="18" t="n">
        <v>41</v>
      </c>
      <c r="B45" s="18" t="s">
        <v>262</v>
      </c>
      <c r="C45" s="18" t="s">
        <v>263</v>
      </c>
      <c r="D45" s="18" t="s">
        <v>242</v>
      </c>
      <c r="E45" s="18" t="s">
        <v>151</v>
      </c>
      <c r="F45" s="19" t="s">
        <v>264</v>
      </c>
      <c r="G45" s="20" t="n">
        <f aca="false">10*p_Bath_Tub_Shower_Combo</f>
        <v>0</v>
      </c>
      <c r="H45" s="21" t="n">
        <v>0</v>
      </c>
      <c r="I45" s="22" t="s">
        <v>153</v>
      </c>
      <c r="J45" s="23" t="n">
        <f aca="false">H45*INDEX(MarkupVals,MATCH(I45,MarkupCodes,0))</f>
        <v>0</v>
      </c>
      <c r="K45" s="24" t="n">
        <f aca="false">G45*J45</f>
        <v>0</v>
      </c>
      <c r="L45" s="21" t="n">
        <v>0</v>
      </c>
      <c r="M45" s="22" t="s">
        <v>153</v>
      </c>
      <c r="N45" s="23" t="n">
        <f aca="false">L45*INDEX(MarkupVals,MATCH(M45,MarkupCodes,0))</f>
        <v>0</v>
      </c>
      <c r="O45" s="24" t="n">
        <f aca="false">G45*N45</f>
        <v>0</v>
      </c>
      <c r="P45" s="23" t="n">
        <f aca="false">LaborCost</f>
        <v>55</v>
      </c>
      <c r="Q45" s="22" t="s">
        <v>153</v>
      </c>
      <c r="R45" s="23" t="n">
        <f aca="false">P45*INDEX(MarkupVals,MATCH(Q45,MarkupCodes,0))</f>
        <v>100</v>
      </c>
      <c r="S45" s="24" t="n">
        <f aca="false">G45*R45</f>
        <v>0</v>
      </c>
      <c r="T45" s="25"/>
      <c r="U45" s="26" t="s">
        <v>258</v>
      </c>
    </row>
    <row r="46" customFormat="false" ht="15" hidden="false" customHeight="false" outlineLevel="0" collapsed="false">
      <c r="A46" s="18" t="n">
        <v>42</v>
      </c>
      <c r="B46" s="18" t="s">
        <v>244</v>
      </c>
      <c r="C46" s="18" t="s">
        <v>265</v>
      </c>
      <c r="D46" s="18" t="s">
        <v>219</v>
      </c>
      <c r="E46" s="18" t="s">
        <v>266</v>
      </c>
      <c r="F46" s="19" t="s">
        <v>62</v>
      </c>
      <c r="G46" s="20" t="n">
        <f aca="false">p_Bath_Vanity_Length</f>
        <v>3</v>
      </c>
      <c r="H46" s="21" t="n">
        <v>200</v>
      </c>
      <c r="I46" s="22" t="s">
        <v>158</v>
      </c>
      <c r="J46" s="23" t="n">
        <f aca="false">H46*INDEX(MarkupVals,MATCH(I46,MarkupCodes,0))</f>
        <v>290</v>
      </c>
      <c r="K46" s="24" t="n">
        <f aca="false">G46*J46</f>
        <v>870</v>
      </c>
      <c r="L46" s="21" t="n">
        <v>450</v>
      </c>
      <c r="M46" s="22" t="s">
        <v>158</v>
      </c>
      <c r="N46" s="23" t="n">
        <f aca="false">L46*INDEX(MarkupVals,MATCH(M46,MarkupCodes,0))</f>
        <v>652.5</v>
      </c>
      <c r="O46" s="24" t="n">
        <f aca="false">G46*N46</f>
        <v>1957.5</v>
      </c>
      <c r="P46" s="21" t="n">
        <v>950</v>
      </c>
      <c r="Q46" s="22" t="s">
        <v>158</v>
      </c>
      <c r="R46" s="23" t="n">
        <f aca="false">P46*INDEX(MarkupVals,MATCH(Q46,MarkupCodes,0))</f>
        <v>1377.5</v>
      </c>
      <c r="S46" s="24" t="n">
        <f aca="false">G46*R46</f>
        <v>4132.5</v>
      </c>
      <c r="T46" s="25" t="s">
        <v>247</v>
      </c>
      <c r="U46" s="26" t="s">
        <v>267</v>
      </c>
    </row>
    <row r="47" customFormat="false" ht="15" hidden="false" customHeight="false" outlineLevel="0" collapsed="false">
      <c r="A47" s="18" t="n">
        <v>43</v>
      </c>
      <c r="B47" s="18" t="s">
        <v>244</v>
      </c>
      <c r="C47" s="18" t="s">
        <v>268</v>
      </c>
      <c r="D47" s="18" t="s">
        <v>219</v>
      </c>
      <c r="E47" s="18" t="s">
        <v>266</v>
      </c>
      <c r="F47" s="19" t="s">
        <v>62</v>
      </c>
      <c r="G47" s="20" t="n">
        <f aca="false">p_Bath_Vanity_Length</f>
        <v>3</v>
      </c>
      <c r="H47" s="21" t="n">
        <v>100</v>
      </c>
      <c r="I47" s="22" t="s">
        <v>158</v>
      </c>
      <c r="J47" s="23" t="n">
        <f aca="false">H47*INDEX(MarkupVals,MATCH(I47,MarkupCodes,0))</f>
        <v>145</v>
      </c>
      <c r="K47" s="24" t="n">
        <f aca="false">G47*J47</f>
        <v>435</v>
      </c>
      <c r="L47" s="21" t="n">
        <v>200</v>
      </c>
      <c r="M47" s="22" t="s">
        <v>158</v>
      </c>
      <c r="N47" s="23" t="n">
        <f aca="false">L47*INDEX(MarkupVals,MATCH(M47,MarkupCodes,0))</f>
        <v>290</v>
      </c>
      <c r="O47" s="24" t="n">
        <f aca="false">G47*N47</f>
        <v>870</v>
      </c>
      <c r="P47" s="21" t="n">
        <v>450</v>
      </c>
      <c r="Q47" s="22" t="s">
        <v>158</v>
      </c>
      <c r="R47" s="23" t="n">
        <f aca="false">P47*INDEX(MarkupVals,MATCH(Q47,MarkupCodes,0))</f>
        <v>652.5</v>
      </c>
      <c r="S47" s="24" t="n">
        <f aca="false">G47*R47</f>
        <v>1957.5</v>
      </c>
      <c r="T47" s="25" t="s">
        <v>247</v>
      </c>
      <c r="U47" s="26" t="s">
        <v>269</v>
      </c>
    </row>
    <row r="48" customFormat="false" ht="15" hidden="false" customHeight="false" outlineLevel="0" collapsed="false">
      <c r="A48" s="18" t="n">
        <v>44</v>
      </c>
      <c r="B48" s="18" t="s">
        <v>244</v>
      </c>
      <c r="C48" s="18" t="s">
        <v>270</v>
      </c>
      <c r="D48" s="18" t="s">
        <v>183</v>
      </c>
      <c r="E48" s="18" t="s">
        <v>157</v>
      </c>
      <c r="F48" s="19" t="s">
        <v>66</v>
      </c>
      <c r="G48" s="20" t="n">
        <f aca="false">p_Bath_Vanity_Sinks</f>
        <v>1</v>
      </c>
      <c r="H48" s="21" t="n">
        <v>210</v>
      </c>
      <c r="I48" s="22" t="s">
        <v>158</v>
      </c>
      <c r="J48" s="23" t="n">
        <f aca="false">H48*INDEX(MarkupVals,MATCH(I48,MarkupCodes,0))</f>
        <v>304.5</v>
      </c>
      <c r="K48" s="24" t="n">
        <f aca="false">G48*J48</f>
        <v>304.5</v>
      </c>
      <c r="L48" s="21" t="n">
        <v>380</v>
      </c>
      <c r="M48" s="22" t="s">
        <v>158</v>
      </c>
      <c r="N48" s="23" t="n">
        <f aca="false">L48*INDEX(MarkupVals,MATCH(M48,MarkupCodes,0))</f>
        <v>551</v>
      </c>
      <c r="O48" s="24" t="n">
        <f aca="false">G48*N48</f>
        <v>551</v>
      </c>
      <c r="P48" s="21" t="n">
        <v>690</v>
      </c>
      <c r="Q48" s="22" t="s">
        <v>158</v>
      </c>
      <c r="R48" s="23" t="n">
        <f aca="false">P48*INDEX(MarkupVals,MATCH(Q48,MarkupCodes,0))</f>
        <v>1000.5</v>
      </c>
      <c r="S48" s="24" t="n">
        <f aca="false">G48*R48</f>
        <v>1000.5</v>
      </c>
      <c r="T48" s="25" t="s">
        <v>247</v>
      </c>
      <c r="U48" s="26"/>
    </row>
    <row r="49" customFormat="false" ht="15" hidden="false" customHeight="false" outlineLevel="0" collapsed="false">
      <c r="A49" s="18" t="n">
        <v>45</v>
      </c>
      <c r="B49" s="18" t="s">
        <v>244</v>
      </c>
      <c r="C49" s="18" t="s">
        <v>271</v>
      </c>
      <c r="D49" s="18" t="s">
        <v>219</v>
      </c>
      <c r="E49" s="18" t="s">
        <v>157</v>
      </c>
      <c r="F49" s="19" t="s">
        <v>66</v>
      </c>
      <c r="G49" s="20" t="n">
        <f aca="false">p_Bath_Vanity_Sinks</f>
        <v>1</v>
      </c>
      <c r="H49" s="21" t="n">
        <v>150</v>
      </c>
      <c r="I49" s="22" t="s">
        <v>158</v>
      </c>
      <c r="J49" s="23" t="n">
        <f aca="false">H49*INDEX(MarkupVals,MATCH(I49,MarkupCodes,0))</f>
        <v>217.5</v>
      </c>
      <c r="K49" s="24" t="n">
        <f aca="false">G49*J49</f>
        <v>217.5</v>
      </c>
      <c r="L49" s="21" t="n">
        <v>280</v>
      </c>
      <c r="M49" s="22" t="s">
        <v>158</v>
      </c>
      <c r="N49" s="23" t="n">
        <f aca="false">L49*INDEX(MarkupVals,MATCH(M49,MarkupCodes,0))</f>
        <v>406</v>
      </c>
      <c r="O49" s="24" t="n">
        <f aca="false">G49*N49</f>
        <v>406</v>
      </c>
      <c r="P49" s="21" t="n">
        <v>600</v>
      </c>
      <c r="Q49" s="22" t="s">
        <v>158</v>
      </c>
      <c r="R49" s="23" t="n">
        <f aca="false">P49*INDEX(MarkupVals,MATCH(Q49,MarkupCodes,0))</f>
        <v>870</v>
      </c>
      <c r="S49" s="24" t="n">
        <f aca="false">G49*R49</f>
        <v>870</v>
      </c>
      <c r="T49" s="25" t="s">
        <v>247</v>
      </c>
      <c r="U49" s="26"/>
    </row>
    <row r="50" customFormat="false" ht="15" hidden="false" customHeight="false" outlineLevel="0" collapsed="false">
      <c r="A50" s="18" t="n">
        <v>46</v>
      </c>
      <c r="B50" s="18" t="s">
        <v>244</v>
      </c>
      <c r="C50" s="18" t="s">
        <v>272</v>
      </c>
      <c r="D50" s="18" t="s">
        <v>183</v>
      </c>
      <c r="E50" s="18" t="s">
        <v>157</v>
      </c>
      <c r="F50" s="19" t="s">
        <v>70</v>
      </c>
      <c r="G50" s="20" t="n">
        <f aca="false">p_Bath_Toilets</f>
        <v>1</v>
      </c>
      <c r="H50" s="21" t="n">
        <v>240</v>
      </c>
      <c r="I50" s="22" t="s">
        <v>158</v>
      </c>
      <c r="J50" s="23" t="n">
        <f aca="false">H50*INDEX(MarkupVals,MATCH(I50,MarkupCodes,0))</f>
        <v>348</v>
      </c>
      <c r="K50" s="24" t="n">
        <f aca="false">G50*J50</f>
        <v>348</v>
      </c>
      <c r="L50" s="21" t="n">
        <v>345</v>
      </c>
      <c r="M50" s="22" t="s">
        <v>158</v>
      </c>
      <c r="N50" s="23" t="n">
        <f aca="false">L50*INDEX(MarkupVals,MATCH(M50,MarkupCodes,0))</f>
        <v>500.25</v>
      </c>
      <c r="O50" s="24" t="n">
        <f aca="false">G50*N50</f>
        <v>500.25</v>
      </c>
      <c r="P50" s="21" t="n">
        <v>620</v>
      </c>
      <c r="Q50" s="22" t="s">
        <v>158</v>
      </c>
      <c r="R50" s="23" t="n">
        <f aca="false">P50*INDEX(MarkupVals,MATCH(Q50,MarkupCodes,0))</f>
        <v>899</v>
      </c>
      <c r="S50" s="24" t="n">
        <f aca="false">G50*R50</f>
        <v>899</v>
      </c>
      <c r="T50" s="25" t="s">
        <v>247</v>
      </c>
      <c r="U50" s="26"/>
    </row>
    <row r="51" customFormat="false" ht="15" hidden="false" customHeight="false" outlineLevel="0" collapsed="false">
      <c r="A51" s="18" t="n">
        <v>47</v>
      </c>
      <c r="B51" s="18" t="s">
        <v>244</v>
      </c>
      <c r="C51" s="18" t="s">
        <v>273</v>
      </c>
      <c r="D51" s="18" t="s">
        <v>202</v>
      </c>
      <c r="E51" s="18" t="s">
        <v>216</v>
      </c>
      <c r="F51" s="19" t="s">
        <v>73</v>
      </c>
      <c r="G51" s="20" t="n">
        <f aca="false">p_Bath_New_Flooring_Area</f>
        <v>60</v>
      </c>
      <c r="H51" s="21" t="n">
        <v>4</v>
      </c>
      <c r="I51" s="22" t="s">
        <v>158</v>
      </c>
      <c r="J51" s="23" t="n">
        <f aca="false">H51*INDEX(MarkupVals,MATCH(I51,MarkupCodes,0))</f>
        <v>5.8</v>
      </c>
      <c r="K51" s="24" t="n">
        <f aca="false">G51*J51</f>
        <v>348</v>
      </c>
      <c r="L51" s="21" t="n">
        <v>5</v>
      </c>
      <c r="M51" s="22" t="s">
        <v>158</v>
      </c>
      <c r="N51" s="23" t="n">
        <f aca="false">L51*INDEX(MarkupVals,MATCH(M51,MarkupCodes,0))</f>
        <v>7.25</v>
      </c>
      <c r="O51" s="24" t="n">
        <f aca="false">G51*N51</f>
        <v>435</v>
      </c>
      <c r="P51" s="21" t="n">
        <v>15</v>
      </c>
      <c r="Q51" s="22" t="s">
        <v>246</v>
      </c>
      <c r="R51" s="23" t="n">
        <f aca="false">P51*INDEX(MarkupVals,MATCH(Q51,MarkupCodes,0))</f>
        <v>19.5</v>
      </c>
      <c r="S51" s="24" t="n">
        <f aca="false">G51*R51</f>
        <v>1170</v>
      </c>
      <c r="T51" s="25" t="s">
        <v>247</v>
      </c>
      <c r="U51" s="26" t="s">
        <v>274</v>
      </c>
    </row>
    <row r="52" customFormat="false" ht="15" hidden="false" customHeight="false" outlineLevel="0" collapsed="false">
      <c r="A52" s="18" t="n">
        <v>48</v>
      </c>
      <c r="B52" s="18" t="s">
        <v>255</v>
      </c>
      <c r="C52" s="18" t="s">
        <v>275</v>
      </c>
      <c r="D52" s="18" t="s">
        <v>276</v>
      </c>
      <c r="E52" s="18" t="s">
        <v>151</v>
      </c>
      <c r="F52" s="19" t="s">
        <v>277</v>
      </c>
      <c r="G52" s="20" t="n">
        <f aca="false">ROUNDUP(p_Bath_New_Flooring_Area/20,0) + ROUNDUP(p_Bath_New_Flooring_Area/10000,0)</f>
        <v>4</v>
      </c>
      <c r="H52" s="23" t="n">
        <f aca="false">LaborCost</f>
        <v>55</v>
      </c>
      <c r="I52" s="22" t="s">
        <v>153</v>
      </c>
      <c r="J52" s="23" t="n">
        <f aca="false">H52*INDEX(MarkupVals,MATCH(I52,MarkupCodes,0))</f>
        <v>100</v>
      </c>
      <c r="K52" s="24" t="n">
        <f aca="false">G52*J52</f>
        <v>400</v>
      </c>
      <c r="L52" s="21" t="n">
        <v>0</v>
      </c>
      <c r="M52" s="22" t="s">
        <v>153</v>
      </c>
      <c r="N52" s="23" t="n">
        <f aca="false">L52*INDEX(MarkupVals,MATCH(M52,MarkupCodes,0))</f>
        <v>0</v>
      </c>
      <c r="O52" s="24" t="n">
        <f aca="false">G52*N52</f>
        <v>0</v>
      </c>
      <c r="P52" s="21" t="n">
        <v>0</v>
      </c>
      <c r="Q52" s="22" t="s">
        <v>153</v>
      </c>
      <c r="R52" s="23" t="n">
        <f aca="false">P52*INDEX(MarkupVals,MATCH(Q52,MarkupCodes,0))</f>
        <v>0</v>
      </c>
      <c r="S52" s="24" t="n">
        <f aca="false">G52*R52</f>
        <v>0</v>
      </c>
      <c r="T52" s="25"/>
      <c r="U52" s="26" t="s">
        <v>278</v>
      </c>
    </row>
    <row r="53" customFormat="false" ht="15" hidden="false" customHeight="false" outlineLevel="0" collapsed="false">
      <c r="A53" s="18" t="n">
        <v>49</v>
      </c>
      <c r="B53" s="18" t="s">
        <v>259</v>
      </c>
      <c r="C53" s="18" t="s">
        <v>279</v>
      </c>
      <c r="D53" s="18" t="s">
        <v>276</v>
      </c>
      <c r="E53" s="18" t="s">
        <v>151</v>
      </c>
      <c r="F53" s="19" t="s">
        <v>277</v>
      </c>
      <c r="G53" s="20" t="n">
        <f aca="false">ROUNDUP(p_Bath_New_Flooring_Area/20,0) + ROUNDUP(p_Bath_New_Flooring_Area/10000,0)</f>
        <v>4</v>
      </c>
      <c r="H53" s="21" t="n">
        <v>0</v>
      </c>
      <c r="I53" s="22" t="s">
        <v>153</v>
      </c>
      <c r="J53" s="23" t="n">
        <f aca="false">H53*INDEX(MarkupVals,MATCH(I53,MarkupCodes,0))</f>
        <v>0</v>
      </c>
      <c r="K53" s="24" t="n">
        <f aca="false">G53*J53</f>
        <v>0</v>
      </c>
      <c r="L53" s="23" t="n">
        <f aca="false">LaborCost</f>
        <v>55</v>
      </c>
      <c r="M53" s="22" t="s">
        <v>153</v>
      </c>
      <c r="N53" s="23" t="n">
        <f aca="false">L53*INDEX(MarkupVals,MATCH(M53,MarkupCodes,0))</f>
        <v>100</v>
      </c>
      <c r="O53" s="24" t="n">
        <f aca="false">G53*N53</f>
        <v>400</v>
      </c>
      <c r="P53" s="21" t="n">
        <v>0</v>
      </c>
      <c r="Q53" s="22" t="s">
        <v>153</v>
      </c>
      <c r="R53" s="23" t="n">
        <f aca="false">P53*INDEX(MarkupVals,MATCH(Q53,MarkupCodes,0))</f>
        <v>0</v>
      </c>
      <c r="S53" s="24" t="n">
        <f aca="false">G53*R53</f>
        <v>0</v>
      </c>
      <c r="T53" s="25"/>
      <c r="U53" s="26" t="s">
        <v>278</v>
      </c>
    </row>
    <row r="54" customFormat="false" ht="15" hidden="false" customHeight="false" outlineLevel="0" collapsed="false">
      <c r="A54" s="18" t="n">
        <v>50</v>
      </c>
      <c r="B54" s="18" t="s">
        <v>244</v>
      </c>
      <c r="C54" s="18" t="s">
        <v>280</v>
      </c>
      <c r="D54" s="18" t="s">
        <v>193</v>
      </c>
      <c r="E54" s="18" t="s">
        <v>157</v>
      </c>
      <c r="F54" s="19" t="s">
        <v>77</v>
      </c>
      <c r="G54" s="20" t="n">
        <f aca="false">p_Bath_Exhaust_Fan</f>
        <v>1</v>
      </c>
      <c r="H54" s="21" t="n">
        <v>150</v>
      </c>
      <c r="I54" s="22" t="s">
        <v>158</v>
      </c>
      <c r="J54" s="23" t="n">
        <f aca="false">H54*INDEX(MarkupVals,MATCH(I54,MarkupCodes,0))</f>
        <v>217.5</v>
      </c>
      <c r="K54" s="24" t="n">
        <f aca="false">G54*J54</f>
        <v>217.5</v>
      </c>
      <c r="L54" s="21" t="n">
        <v>230</v>
      </c>
      <c r="M54" s="22" t="s">
        <v>158</v>
      </c>
      <c r="N54" s="23" t="n">
        <f aca="false">L54*INDEX(MarkupVals,MATCH(M54,MarkupCodes,0))</f>
        <v>333.5</v>
      </c>
      <c r="O54" s="24" t="n">
        <f aca="false">G54*N54</f>
        <v>333.5</v>
      </c>
      <c r="P54" s="21" t="n">
        <v>420</v>
      </c>
      <c r="Q54" s="22" t="s">
        <v>158</v>
      </c>
      <c r="R54" s="23" t="n">
        <f aca="false">P54*INDEX(MarkupVals,MATCH(Q54,MarkupCodes,0))</f>
        <v>609</v>
      </c>
      <c r="S54" s="24" t="n">
        <f aca="false">G54*R54</f>
        <v>609</v>
      </c>
      <c r="T54" s="25" t="s">
        <v>247</v>
      </c>
      <c r="U54" s="26"/>
    </row>
    <row r="55" customFormat="false" ht="15" hidden="false" customHeight="false" outlineLevel="0" collapsed="false">
      <c r="A55" s="18" t="n">
        <v>51</v>
      </c>
      <c r="B55" s="18" t="s">
        <v>244</v>
      </c>
      <c r="C55" s="18" t="s">
        <v>281</v>
      </c>
      <c r="D55" s="18" t="s">
        <v>193</v>
      </c>
      <c r="E55" s="18" t="s">
        <v>157</v>
      </c>
      <c r="F55" s="19" t="s">
        <v>81</v>
      </c>
      <c r="G55" s="20" t="n">
        <f aca="false">p_Bath_Light_Fixtures</f>
        <v>1</v>
      </c>
      <c r="H55" s="21" t="n">
        <v>60</v>
      </c>
      <c r="I55" s="22" t="s">
        <v>158</v>
      </c>
      <c r="J55" s="23" t="n">
        <f aca="false">H55*INDEX(MarkupVals,MATCH(I55,MarkupCodes,0))</f>
        <v>87</v>
      </c>
      <c r="K55" s="24" t="n">
        <f aca="false">G55*J55</f>
        <v>87</v>
      </c>
      <c r="L55" s="21" t="n">
        <v>140</v>
      </c>
      <c r="M55" s="22" t="s">
        <v>158</v>
      </c>
      <c r="N55" s="23" t="n">
        <f aca="false">L55*INDEX(MarkupVals,MATCH(M55,MarkupCodes,0))</f>
        <v>203</v>
      </c>
      <c r="O55" s="24" t="n">
        <f aca="false">G55*N55</f>
        <v>203</v>
      </c>
      <c r="P55" s="21" t="n">
        <v>300</v>
      </c>
      <c r="Q55" s="22" t="s">
        <v>158</v>
      </c>
      <c r="R55" s="23" t="n">
        <f aca="false">P55*INDEX(MarkupVals,MATCH(Q55,MarkupCodes,0))</f>
        <v>435</v>
      </c>
      <c r="S55" s="24" t="n">
        <f aca="false">G55*R55</f>
        <v>435</v>
      </c>
      <c r="T55" s="25" t="s">
        <v>247</v>
      </c>
      <c r="U55" s="26"/>
    </row>
    <row r="56" customFormat="false" ht="15" hidden="false" customHeight="false" outlineLevel="0" collapsed="false">
      <c r="A56" s="18" t="n">
        <v>52</v>
      </c>
      <c r="B56" s="18" t="s">
        <v>244</v>
      </c>
      <c r="C56" s="18" t="s">
        <v>282</v>
      </c>
      <c r="D56" s="18" t="s">
        <v>193</v>
      </c>
      <c r="E56" s="18" t="s">
        <v>157</v>
      </c>
      <c r="F56" s="19" t="s">
        <v>85</v>
      </c>
      <c r="G56" s="20" t="n">
        <f aca="false">p_Bath_Recessed_Lights</f>
        <v>0</v>
      </c>
      <c r="H56" s="21" t="n">
        <v>25</v>
      </c>
      <c r="I56" s="22" t="s">
        <v>158</v>
      </c>
      <c r="J56" s="23" t="n">
        <f aca="false">H56*INDEX(MarkupVals,MATCH(I56,MarkupCodes,0))</f>
        <v>36.25</v>
      </c>
      <c r="K56" s="24" t="n">
        <f aca="false">G56*J56</f>
        <v>0</v>
      </c>
      <c r="L56" s="21" t="n">
        <v>35</v>
      </c>
      <c r="M56" s="22" t="s">
        <v>158</v>
      </c>
      <c r="N56" s="23" t="n">
        <f aca="false">L56*INDEX(MarkupVals,MATCH(M56,MarkupCodes,0))</f>
        <v>50.75</v>
      </c>
      <c r="O56" s="24" t="n">
        <f aca="false">G56*N56</f>
        <v>0</v>
      </c>
      <c r="P56" s="21" t="n">
        <v>60</v>
      </c>
      <c r="Q56" s="22" t="s">
        <v>158</v>
      </c>
      <c r="R56" s="23" t="n">
        <f aca="false">P56*INDEX(MarkupVals,MATCH(Q56,MarkupCodes,0))</f>
        <v>87</v>
      </c>
      <c r="S56" s="24" t="n">
        <f aca="false">G56*R56</f>
        <v>0</v>
      </c>
      <c r="T56" s="25" t="s">
        <v>247</v>
      </c>
      <c r="U56" s="26"/>
    </row>
    <row r="57" customFormat="false" ht="15" hidden="false" customHeight="false" outlineLevel="0" collapsed="false">
      <c r="A57" s="18" t="n">
        <v>53</v>
      </c>
      <c r="B57" s="18" t="s">
        <v>244</v>
      </c>
      <c r="C57" s="18" t="s">
        <v>283</v>
      </c>
      <c r="D57" s="18" t="s">
        <v>240</v>
      </c>
      <c r="E57" s="18" t="s">
        <v>144</v>
      </c>
      <c r="F57" s="19" t="s">
        <v>145</v>
      </c>
      <c r="G57" s="20" t="n">
        <f aca="false">1</f>
        <v>1</v>
      </c>
      <c r="H57" s="21" t="n">
        <v>100</v>
      </c>
      <c r="I57" s="22" t="s">
        <v>158</v>
      </c>
      <c r="J57" s="23" t="n">
        <f aca="false">H57*INDEX(MarkupVals,MATCH(I57,MarkupCodes,0))</f>
        <v>145</v>
      </c>
      <c r="K57" s="24" t="n">
        <f aca="false">G57*J57</f>
        <v>145</v>
      </c>
      <c r="L57" s="21" t="n">
        <v>300</v>
      </c>
      <c r="M57" s="22" t="s">
        <v>158</v>
      </c>
      <c r="N57" s="23" t="n">
        <f aca="false">L57*INDEX(MarkupVals,MATCH(M57,MarkupCodes,0))</f>
        <v>435</v>
      </c>
      <c r="O57" s="24" t="n">
        <f aca="false">G57*N57</f>
        <v>435</v>
      </c>
      <c r="P57" s="21" t="n">
        <v>620</v>
      </c>
      <c r="Q57" s="22" t="s">
        <v>158</v>
      </c>
      <c r="R57" s="23" t="n">
        <f aca="false">P57*INDEX(MarkupVals,MATCH(Q57,MarkupCodes,0))</f>
        <v>899</v>
      </c>
      <c r="S57" s="24" t="n">
        <f aca="false">G57*R57</f>
        <v>899</v>
      </c>
      <c r="T57" s="25" t="s">
        <v>247</v>
      </c>
      <c r="U57" s="26"/>
    </row>
    <row r="58" customFormat="false" ht="326.1" hidden="false" customHeight="false" outlineLevel="0" collapsed="false">
      <c r="A58" s="18" t="n">
        <v>54</v>
      </c>
      <c r="B58" s="18" t="s">
        <v>255</v>
      </c>
      <c r="C58" s="18" t="s">
        <v>284</v>
      </c>
      <c r="D58" s="18" t="s">
        <v>285</v>
      </c>
      <c r="E58" s="18" t="s">
        <v>144</v>
      </c>
      <c r="F58" s="27" t="s">
        <v>286</v>
      </c>
      <c r="G58" s="20" t="n">
        <f aca="false">p_Bath_Contingency_Rate/100*((1)*145 + (4 + 2*p_Bath_Full_Gut)*100 + (1)*217.5 + (2)*100 + (6 + 10*p_Bath_Full_Gut)*100 + (p_Bath_Dumpster_Loads)*450 + (2 + p_Bath_Full_Gut)*100 + (p_Bath_Travel_Hours)*100 + (p_Bath_Walk_In_Shower + 2*p_Bath_Walls_Moved + ROUNDUP(p_Bath_Subfloor_Repair_Area/32,0))*145 + (4*p_Bath_Walk_In_Shower + 6*p_Bath_Walls_Moved + ROUNDUP(p_Bath_Subfloor_Repair_Area/8,0))*100 + (1 + p_Bath_Fixtures_Replaced + 5*p_Bath_Fixtures_Relocated)*145 + (3 + ROUND(2.5*p_Bath_Fixtures_Replaced,0) + 4*p_Bath_Fixtures_Relocated)*100 + (p_Bath_HVAC_Work)*145 + (2*p_Bath_HVAC_Work)*100 + (1 + p_Bath_Circuits_Added + 0.5*p_Bath_Recessed_Lights)*87 + (3 + p_Bath_Light_Fixtures + p_Bath_Recessed_Lights + 3*p_Bath_Circuits_Added)*100 + (p_Bath_Exhaust_Fan)*72.5 + (3*p_Bath_Exhaust_Fan)*100 + (1 + p_Bath_Full_Gut)*116 + (6 + 4*p_Bath_Full_Gut)*100 + (1 + p_Bath_Full_Gut)*174 + (3 + 4*p_Bath_Full_Gut)*100 + (p_Bath_New_Flooring_Area)*1.0875 + (2*ROUNDUP(p_Bath_Vanity_Length/100,0) + p_Bath_Vanity_Length)*100 + (ROUNDUP(1.5*p_Bath_Vanity_Length,0))*14.5 + (p_Bath_Full_Gut)*29 + (p_Bath_Interior_Doors)*580 + (p_Bath_Pocket_Doors)*725 + (3*p_Bath_Interior_Doors + 8*p_Bath_Pocket_Doors)*100 + (1 + p_Bath_Interior_Doors + p_Bath_Pocket_Doors + p_Bath_Full_Gut*ROUNDUP(p_Bath_Floor_Area/30,0))*58 + (1 + 3*p_Bath_Full_Gut + p_Bath_Interior_Doors + p_Bath_Pocket_Doors)*100 + (p_Bath_Grab_Bars)*174 + (2 + p_Bath_Grab_Bars)*100 + (p_Bath_Walk_In_Shower)*2015.5 + (p_Bath_Walk_In_Shower)*696 + (p_Bath_Tub_Shower_Combo)*1653 + (p_Bath_Tub_Shower_Combo)*500.25 + (p_Bath_Walk_In_Shower + p_Bath_Tub_Shower_Combo)*500.25 + (12*p_Bath_Walk_In_Shower + 10*p_Bath_Tub_Shower_Combo)*100 + (p_Bath_Vanity_Length)*290 + (p_Bath_Vanity_Length)*145 + (p_Bath_Vanity_Sinks)*304.5 + (p_Bath_Vanity_Sinks)*217.5 + (p_Bath_Toilets)*348 + (p_Bath_New_Flooring_Area)*5.8 + (ROUNDUP(p_Bath_New_Flooring_Area/20,0) + ROUNDUP(p_Bath_New_Flooring_Area/10000,0))*100 + (p_Bath_Exhaust_Fan)*217.5 + (p_Bath_Light_Fixtures)*87 + (p_Bath_Recessed_Lights)*36.25 + (1)*145)</f>
        <v>924.45</v>
      </c>
      <c r="H58" s="21" t="n">
        <v>1</v>
      </c>
      <c r="I58" s="22" t="s">
        <v>287</v>
      </c>
      <c r="J58" s="23" t="n">
        <f aca="false">H58*INDEX(MarkupVals,MATCH(I58,MarkupCodes,0))</f>
        <v>1</v>
      </c>
      <c r="K58" s="24" t="n">
        <f aca="false">G58*J58</f>
        <v>924.45</v>
      </c>
      <c r="L58" s="21" t="n">
        <v>0</v>
      </c>
      <c r="M58" s="22" t="s">
        <v>287</v>
      </c>
      <c r="N58" s="23" t="n">
        <f aca="false">L58*INDEX(MarkupVals,MATCH(M58,MarkupCodes,0))</f>
        <v>0</v>
      </c>
      <c r="O58" s="24" t="n">
        <f aca="false">G58*N58</f>
        <v>0</v>
      </c>
      <c r="P58" s="21" t="n">
        <v>0</v>
      </c>
      <c r="Q58" s="22" t="s">
        <v>287</v>
      </c>
      <c r="R58" s="23" t="n">
        <f aca="false">P58*INDEX(MarkupVals,MATCH(Q58,MarkupCodes,0))</f>
        <v>0</v>
      </c>
      <c r="S58" s="24" t="n">
        <f aca="false">G58*R58</f>
        <v>0</v>
      </c>
      <c r="T58" s="25"/>
      <c r="U58" s="26" t="s">
        <v>288</v>
      </c>
    </row>
    <row r="59" customFormat="false" ht="326.1" hidden="false" customHeight="false" outlineLevel="0" collapsed="false">
      <c r="A59" s="18" t="n">
        <v>55</v>
      </c>
      <c r="B59" s="18" t="s">
        <v>259</v>
      </c>
      <c r="C59" s="18" t="s">
        <v>289</v>
      </c>
      <c r="D59" s="18" t="s">
        <v>285</v>
      </c>
      <c r="E59" s="18" t="s">
        <v>144</v>
      </c>
      <c r="F59" s="27" t="s">
        <v>290</v>
      </c>
      <c r="G59" s="20" t="n">
        <f aca="false">p_Bath_Contingency_Rate/100*((1)*145 + (4 + 2*p_Bath_Full_Gut)*100 + (1)*217.5 + (2)*100 + (6 + 10*p_Bath_Full_Gut)*100 + (p_Bath_Dumpster_Loads)*450 + (2 + p_Bath_Full_Gut)*100 + (p_Bath_Travel_Hours)*100 + (p_Bath_Walk_In_Shower + 2*p_Bath_Walls_Moved + ROUNDUP(p_Bath_Subfloor_Repair_Area/32,0))*145 + (4*p_Bath_Walk_In_Shower + 6*p_Bath_Walls_Moved + ROUNDUP(p_Bath_Subfloor_Repair_Area/8,0))*100 + (1 + p_Bath_Fixtures_Replaced + 5*p_Bath_Fixtures_Relocated)*145 + (3 + ROUND(2.5*p_Bath_Fixtures_Replaced,0) + 4*p_Bath_Fixtures_Relocated)*100 + (p_Bath_HVAC_Work)*145 + (2*p_Bath_HVAC_Work)*100 + (1 + p_Bath_Circuits_Added + 0.5*p_Bath_Recessed_Lights)*87 + (3 + p_Bath_Light_Fixtures + p_Bath_Recessed_Lights + 3*p_Bath_Circuits_Added)*100 + (p_Bath_Exhaust_Fan)*72.5 + (3*p_Bath_Exhaust_Fan)*100 + (1 + p_Bath_Full_Gut)*116 + (6 + 4*p_Bath_Full_Gut)*100 + (1 + p_Bath_Full_Gut)*174 + (3 + 4*p_Bath_Full_Gut)*100 + (p_Bath_New_Flooring_Area)*1.0875 + (2*ROUNDUP(p_Bath_Vanity_Length/100,0) + p_Bath_Vanity_Length)*100 + (ROUNDUP(1.5*p_Bath_Vanity_Length,0))*14.5 + (p_Bath_Full_Gut)*29 + (p_Bath_Interior_Doors)*580 + (p_Bath_Pocket_Doors)*725 + (3*p_Bath_Interior_Doors + 8*p_Bath_Pocket_Doors)*100 + (1 + p_Bath_Interior_Doors + p_Bath_Pocket_Doors + p_Bath_Full_Gut*ROUNDUP(p_Bath_Floor_Area/30,0))*58 + (1 + 3*p_Bath_Full_Gut + p_Bath_Interior_Doors + p_Bath_Pocket_Doors)*100 + (p_Bath_Grab_Bars)*174 + (2 + p_Bath_Grab_Bars)*100 + (p_Bath_Walk_In_Shower)*4901 + (p_Bath_Walk_In_Shower)*2697 + (p_Bath_Tub_Shower_Combo)*2501.25 + (p_Bath_Tub_Shower_Combo)*1102 + (p_Bath_Walk_In_Shower + p_Bath_Tub_Shower_Combo)*899 + (24*p_Bath_Walk_In_Shower + 10*p_Bath_Tub_Shower_Combo)*100 + (p_Bath_Vanity_Length)*652.5 + (p_Bath_Vanity_Length)*290 + (p_Bath_Vanity_Sinks)*551 + (p_Bath_Vanity_Sinks)*406 + (p_Bath_Toilets)*500.25 + (p_Bath_New_Flooring_Area)*7.25 + (ROUNDUP(p_Bath_New_Flooring_Area/20,0) + ROUNDUP(p_Bath_New_Flooring_Area/10000,0))*100 + (p_Bath_Exhaust_Fan)*333.5 + (p_Bath_Light_Fixtures)*203 + (p_Bath_Recessed_Lights)*50.75 + (1)*435)</f>
        <v>1384.65</v>
      </c>
      <c r="H59" s="21" t="n">
        <v>0</v>
      </c>
      <c r="I59" s="22" t="s">
        <v>287</v>
      </c>
      <c r="J59" s="23" t="n">
        <f aca="false">H59*INDEX(MarkupVals,MATCH(I59,MarkupCodes,0))</f>
        <v>0</v>
      </c>
      <c r="K59" s="24" t="n">
        <f aca="false">G59*J59</f>
        <v>0</v>
      </c>
      <c r="L59" s="21" t="n">
        <v>1</v>
      </c>
      <c r="M59" s="22" t="s">
        <v>287</v>
      </c>
      <c r="N59" s="23" t="n">
        <f aca="false">L59*INDEX(MarkupVals,MATCH(M59,MarkupCodes,0))</f>
        <v>1</v>
      </c>
      <c r="O59" s="24" t="n">
        <f aca="false">G59*N59</f>
        <v>1384.65</v>
      </c>
      <c r="P59" s="21" t="n">
        <v>0</v>
      </c>
      <c r="Q59" s="22" t="s">
        <v>287</v>
      </c>
      <c r="R59" s="23" t="n">
        <f aca="false">P59*INDEX(MarkupVals,MATCH(Q59,MarkupCodes,0))</f>
        <v>0</v>
      </c>
      <c r="S59" s="24" t="n">
        <f aca="false">G59*R59</f>
        <v>0</v>
      </c>
      <c r="T59" s="25"/>
      <c r="U59" s="26" t="s">
        <v>288</v>
      </c>
    </row>
    <row r="60" customFormat="false" ht="305.2" hidden="false" customHeight="false" outlineLevel="0" collapsed="false">
      <c r="A60" s="18" t="n">
        <v>56</v>
      </c>
      <c r="B60" s="18" t="s">
        <v>262</v>
      </c>
      <c r="C60" s="18" t="s">
        <v>291</v>
      </c>
      <c r="D60" s="18" t="s">
        <v>285</v>
      </c>
      <c r="E60" s="18" t="s">
        <v>144</v>
      </c>
      <c r="F60" s="27" t="s">
        <v>292</v>
      </c>
      <c r="G60" s="20" t="n">
        <f aca="false">p_Bath_Contingency_Rate/100*((1)*145 + (4 + 2*p_Bath_Full_Gut)*100 + (1)*217.5 + (2)*100 + (6 + 10*p_Bath_Full_Gut)*100 + (p_Bath_Dumpster_Loads)*450 + (2 + p_Bath_Full_Gut)*100 + (p_Bath_Travel_Hours)*100 + (p_Bath_Walk_In_Shower + 2*p_Bath_Walls_Moved + ROUNDUP(p_Bath_Subfloor_Repair_Area/32,0))*145 + (4*p_Bath_Walk_In_Shower + 6*p_Bath_Walls_Moved + ROUNDUP(p_Bath_Subfloor_Repair_Area/8,0))*100 + (1 + p_Bath_Fixtures_Replaced + 5*p_Bath_Fixtures_Relocated)*145 + (3 + ROUND(2.5*p_Bath_Fixtures_Replaced,0) + 4*p_Bath_Fixtures_Relocated)*100 + (p_Bath_HVAC_Work)*145 + (2*p_Bath_HVAC_Work)*100 + (1 + p_Bath_Circuits_Added + 0.5*p_Bath_Recessed_Lights)*87 + (3 + p_Bath_Light_Fixtures + p_Bath_Recessed_Lights + 3*p_Bath_Circuits_Added)*100 + (p_Bath_Exhaust_Fan)*72.5 + (3*p_Bath_Exhaust_Fan)*100 + (1 + p_Bath_Full_Gut)*116 + (6 + 4*p_Bath_Full_Gut)*100 + (1 + p_Bath_Full_Gut)*174 + (3 + 4*p_Bath_Full_Gut)*100 + (p_Bath_New_Flooring_Area)*1.0875 + (2*ROUNDUP(p_Bath_Vanity_Length/100,0) + p_Bath_Vanity_Length)*100 + (ROUNDUP(1.5*p_Bath_Vanity_Length,0))*14.5 + (p_Bath_Full_Gut)*29 + (p_Bath_Interior_Doors)*580 + (p_Bath_Pocket_Doors)*725 + (3*p_Bath_Interior_Doors + 8*p_Bath_Pocket_Doors)*100 + (1 + p_Bath_Interior_Doors + p_Bath_Pocket_Doors + p_Bath_Full_Gut*ROUNDUP(p_Bath_Floor_Area/30,0))*58 + (1 + 3*p_Bath_Full_Gut + p_Bath_Interior_Doors + p_Bath_Pocket_Doors)*100 + (p_Bath_Grab_Bars)*174 + (2 + p_Bath_Grab_Bars)*100 + (p_Bath_Walk_In_Shower)*11440 + (p_Bath_Walk_In_Shower)*4004 + (p_Bath_Tub_Shower_Combo)*4002 + (p_Bath_Tub_Shower_Combo)*1595 + (p_Bath_Walk_In_Shower + p_Bath_Tub_Shower_Combo)*1450 + (10*p_Bath_Tub_Shower_Combo)*100 + (p_Bath_Vanity_Length)*1377.5 + (p_Bath_Vanity_Length)*652.5 + (p_Bath_Vanity_Sinks)*1000.5 + (p_Bath_Vanity_Sinks)*870 + (p_Bath_Toilets)*899 + (p_Bath_New_Flooring_Area)*19.5 + (p_Bath_Exhaust_Fan)*609 + (p_Bath_Light_Fixtures)*435 + (p_Bath_Recessed_Lights)*87 + (1)*899)</f>
        <v>1978.5625</v>
      </c>
      <c r="H60" s="21" t="n">
        <v>0</v>
      </c>
      <c r="I60" s="22" t="s">
        <v>287</v>
      </c>
      <c r="J60" s="23" t="n">
        <f aca="false">H60*INDEX(MarkupVals,MATCH(I60,MarkupCodes,0))</f>
        <v>0</v>
      </c>
      <c r="K60" s="24" t="n">
        <f aca="false">G60*J60</f>
        <v>0</v>
      </c>
      <c r="L60" s="21" t="n">
        <v>0</v>
      </c>
      <c r="M60" s="22" t="s">
        <v>287</v>
      </c>
      <c r="N60" s="23" t="n">
        <f aca="false">L60*INDEX(MarkupVals,MATCH(M60,MarkupCodes,0))</f>
        <v>0</v>
      </c>
      <c r="O60" s="24" t="n">
        <f aca="false">G60*N60</f>
        <v>0</v>
      </c>
      <c r="P60" s="21" t="n">
        <v>1</v>
      </c>
      <c r="Q60" s="22" t="s">
        <v>287</v>
      </c>
      <c r="R60" s="23" t="n">
        <f aca="false">P60*INDEX(MarkupVals,MATCH(Q60,MarkupCodes,0))</f>
        <v>1</v>
      </c>
      <c r="S60" s="24" t="n">
        <f aca="false">G60*R60</f>
        <v>1978.5625</v>
      </c>
      <c r="T60" s="25"/>
      <c r="U60" s="26" t="s">
        <v>288</v>
      </c>
    </row>
    <row r="61" customFormat="false" ht="15" hidden="false" customHeight="false" outlineLevel="0" collapsed="false">
      <c r="A61" s="6"/>
      <c r="B61" s="6"/>
      <c r="C61" s="15" t="s">
        <v>293</v>
      </c>
      <c r="D61" s="6"/>
      <c r="E61" s="6"/>
      <c r="F61" s="6"/>
      <c r="G61" s="6"/>
      <c r="H61" s="6"/>
      <c r="I61" s="6"/>
      <c r="J61" s="6"/>
      <c r="K61" s="16" t="n">
        <f aca="false">SUM(K5:K60)</f>
        <v>19413.45</v>
      </c>
      <c r="L61" s="6"/>
      <c r="M61" s="6"/>
      <c r="N61" s="6"/>
      <c r="O61" s="16" t="n">
        <f aca="false">SUM(O5:O60)</f>
        <v>29077.65</v>
      </c>
      <c r="P61" s="6"/>
      <c r="Q61" s="6"/>
      <c r="R61" s="6"/>
      <c r="S61" s="16" t="n">
        <f aca="false">SUM(S5:S60)</f>
        <v>41549.8125</v>
      </c>
      <c r="T61" s="6"/>
      <c r="U6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5" t="s">
        <v>294</v>
      </c>
      <c r="B1" s="6"/>
      <c r="C1" s="6"/>
      <c r="D1" s="6"/>
      <c r="E1" s="6"/>
    </row>
    <row r="2" customFormat="false" ht="15" hidden="false" customHeight="false" outlineLevel="0" collapsed="false">
      <c r="A2" s="7" t="s">
        <v>295</v>
      </c>
      <c r="B2" s="6"/>
      <c r="C2" s="6"/>
      <c r="D2" s="6"/>
      <c r="E2" s="6"/>
    </row>
    <row r="3" customFormat="false" ht="15" hidden="false" customHeight="false" outlineLevel="0" collapsed="false">
      <c r="A3" s="6"/>
      <c r="B3" s="6"/>
      <c r="C3" s="6"/>
      <c r="D3" s="6"/>
      <c r="E3" s="6"/>
    </row>
    <row r="4" customFormat="false" ht="15" hidden="false" customHeight="false" outlineLevel="0" collapsed="false">
      <c r="A4" s="8" t="s">
        <v>296</v>
      </c>
      <c r="B4" s="8" t="s">
        <v>297</v>
      </c>
      <c r="C4" s="8" t="s">
        <v>298</v>
      </c>
      <c r="D4" s="8" t="s">
        <v>299</v>
      </c>
      <c r="E4" s="8" t="s">
        <v>300</v>
      </c>
    </row>
    <row r="5" customFormat="false" ht="15" hidden="false" customHeight="false" outlineLevel="0" collapsed="false">
      <c r="A5" s="27" t="s">
        <v>36</v>
      </c>
      <c r="B5" s="28" t="s">
        <v>301</v>
      </c>
      <c r="C5" s="28" t="n">
        <v>50</v>
      </c>
      <c r="D5" s="28" t="s">
        <v>37</v>
      </c>
      <c r="E5" s="28" t="s">
        <v>233</v>
      </c>
    </row>
    <row r="6" customFormat="false" ht="23.85" hidden="false" customHeight="false" outlineLevel="0" collapsed="false">
      <c r="A6" s="27" t="s">
        <v>40</v>
      </c>
      <c r="B6" s="28" t="s">
        <v>301</v>
      </c>
      <c r="C6" s="28" t="n">
        <v>1</v>
      </c>
      <c r="D6" s="28" t="s">
        <v>41</v>
      </c>
      <c r="E6" s="28" t="s">
        <v>302</v>
      </c>
    </row>
    <row r="7" customFormat="false" ht="23.85" hidden="false" customHeight="false" outlineLevel="0" collapsed="false">
      <c r="A7" s="27" t="s">
        <v>44</v>
      </c>
      <c r="B7" s="28" t="s">
        <v>301</v>
      </c>
      <c r="C7" s="28" t="n">
        <v>1</v>
      </c>
      <c r="D7" s="28" t="s">
        <v>45</v>
      </c>
      <c r="E7" s="28" t="s">
        <v>303</v>
      </c>
    </row>
    <row r="8" customFormat="false" ht="15" hidden="false" customHeight="false" outlineLevel="0" collapsed="false">
      <c r="A8" s="27" t="s">
        <v>48</v>
      </c>
      <c r="B8" s="28" t="s">
        <v>301</v>
      </c>
      <c r="C8" s="28" t="n">
        <v>0</v>
      </c>
      <c r="D8" s="28" t="s">
        <v>49</v>
      </c>
      <c r="E8" s="28" t="s">
        <v>304</v>
      </c>
    </row>
    <row r="9" customFormat="false" ht="15" hidden="false" customHeight="false" outlineLevel="0" collapsed="false">
      <c r="A9" s="27" t="s">
        <v>52</v>
      </c>
      <c r="B9" s="28" t="s">
        <v>301</v>
      </c>
      <c r="C9" s="28" t="n">
        <v>3</v>
      </c>
      <c r="D9" s="28" t="s">
        <v>53</v>
      </c>
      <c r="E9" s="28" t="s">
        <v>305</v>
      </c>
    </row>
    <row r="10" customFormat="false" ht="15" hidden="false" customHeight="false" outlineLevel="0" collapsed="false">
      <c r="A10" s="27" t="s">
        <v>56</v>
      </c>
      <c r="B10" s="28" t="s">
        <v>301</v>
      </c>
      <c r="C10" s="28" t="n">
        <v>0</v>
      </c>
      <c r="D10" s="28" t="s">
        <v>57</v>
      </c>
      <c r="E10" s="28" t="s">
        <v>305</v>
      </c>
    </row>
    <row r="11" customFormat="false" ht="15" hidden="false" customHeight="false" outlineLevel="0" collapsed="false">
      <c r="A11" s="27" t="s">
        <v>60</v>
      </c>
      <c r="B11" s="28" t="s">
        <v>301</v>
      </c>
      <c r="C11" s="28" t="n">
        <v>3</v>
      </c>
      <c r="D11" s="28" t="s">
        <v>61</v>
      </c>
      <c r="E11" s="28" t="s">
        <v>306</v>
      </c>
    </row>
    <row r="12" customFormat="false" ht="15" hidden="false" customHeight="false" outlineLevel="0" collapsed="false">
      <c r="A12" s="27" t="s">
        <v>64</v>
      </c>
      <c r="B12" s="28" t="s">
        <v>301</v>
      </c>
      <c r="C12" s="28" t="n">
        <v>1</v>
      </c>
      <c r="D12" s="28" t="s">
        <v>65</v>
      </c>
      <c r="E12" s="28" t="s">
        <v>307</v>
      </c>
    </row>
    <row r="13" customFormat="false" ht="15" hidden="false" customHeight="false" outlineLevel="0" collapsed="false">
      <c r="A13" s="27" t="s">
        <v>68</v>
      </c>
      <c r="B13" s="28" t="s">
        <v>301</v>
      </c>
      <c r="C13" s="28" t="n">
        <v>1</v>
      </c>
      <c r="D13" s="28" t="s">
        <v>69</v>
      </c>
      <c r="E13" s="28" t="s">
        <v>272</v>
      </c>
    </row>
    <row r="14" customFormat="false" ht="15" hidden="false" customHeight="false" outlineLevel="0" collapsed="false">
      <c r="A14" s="27" t="s">
        <v>71</v>
      </c>
      <c r="B14" s="28" t="s">
        <v>301</v>
      </c>
      <c r="C14" s="28" t="n">
        <v>50</v>
      </c>
      <c r="D14" s="28" t="s">
        <v>72</v>
      </c>
      <c r="E14" s="28" t="s">
        <v>308</v>
      </c>
    </row>
    <row r="15" customFormat="false" ht="15" hidden="false" customHeight="false" outlineLevel="0" collapsed="false">
      <c r="A15" s="27" t="s">
        <v>75</v>
      </c>
      <c r="B15" s="28" t="s">
        <v>301</v>
      </c>
      <c r="C15" s="28" t="n">
        <v>1</v>
      </c>
      <c r="D15" s="28" t="s">
        <v>76</v>
      </c>
      <c r="E15" s="28" t="s">
        <v>309</v>
      </c>
    </row>
    <row r="16" customFormat="false" ht="15" hidden="false" customHeight="false" outlineLevel="0" collapsed="false">
      <c r="A16" s="27" t="s">
        <v>79</v>
      </c>
      <c r="B16" s="28" t="s">
        <v>301</v>
      </c>
      <c r="C16" s="28" t="n">
        <v>1</v>
      </c>
      <c r="D16" s="28" t="s">
        <v>80</v>
      </c>
      <c r="E16" s="28" t="s">
        <v>310</v>
      </c>
    </row>
    <row r="17" customFormat="false" ht="15" hidden="false" customHeight="false" outlineLevel="0" collapsed="false">
      <c r="A17" s="27" t="s">
        <v>83</v>
      </c>
      <c r="B17" s="28" t="s">
        <v>301</v>
      </c>
      <c r="C17" s="28" t="n">
        <v>0</v>
      </c>
      <c r="D17" s="28" t="s">
        <v>84</v>
      </c>
      <c r="E17" s="28" t="s">
        <v>311</v>
      </c>
    </row>
    <row r="18" customFormat="false" ht="15" hidden="false" customHeight="false" outlineLevel="0" collapsed="false">
      <c r="A18" s="27" t="s">
        <v>86</v>
      </c>
      <c r="B18" s="28" t="s">
        <v>301</v>
      </c>
      <c r="C18" s="28" t="n">
        <v>0</v>
      </c>
      <c r="D18" s="28" t="s">
        <v>87</v>
      </c>
      <c r="E18" s="28" t="s">
        <v>312</v>
      </c>
    </row>
    <row r="19" customFormat="false" ht="15" hidden="false" customHeight="false" outlineLevel="0" collapsed="false">
      <c r="A19" s="27" t="s">
        <v>90</v>
      </c>
      <c r="B19" s="28" t="s">
        <v>301</v>
      </c>
      <c r="C19" s="28" t="n">
        <v>0</v>
      </c>
      <c r="D19" s="28" t="s">
        <v>91</v>
      </c>
      <c r="E19" s="28" t="s">
        <v>313</v>
      </c>
    </row>
    <row r="20" customFormat="false" ht="15" hidden="false" customHeight="false" outlineLevel="0" collapsed="false">
      <c r="A20" s="27" t="s">
        <v>94</v>
      </c>
      <c r="B20" s="28" t="s">
        <v>301</v>
      </c>
      <c r="C20" s="28" t="n">
        <v>0</v>
      </c>
      <c r="D20" s="28" t="s">
        <v>95</v>
      </c>
      <c r="E20" s="28" t="s">
        <v>313</v>
      </c>
    </row>
    <row r="21" customFormat="false" ht="15" hidden="false" customHeight="false" outlineLevel="0" collapsed="false">
      <c r="A21" s="27" t="s">
        <v>97</v>
      </c>
      <c r="B21" s="28" t="s">
        <v>301</v>
      </c>
      <c r="C21" s="28" t="n">
        <v>0</v>
      </c>
      <c r="D21" s="28" t="s">
        <v>98</v>
      </c>
      <c r="E21" s="28" t="s">
        <v>314</v>
      </c>
    </row>
    <row r="22" customFormat="false" ht="15" hidden="false" customHeight="false" outlineLevel="0" collapsed="false">
      <c r="A22" s="27" t="s">
        <v>100</v>
      </c>
      <c r="B22" s="28" t="s">
        <v>301</v>
      </c>
      <c r="C22" s="28" t="n">
        <v>0</v>
      </c>
      <c r="D22" s="28" t="s">
        <v>101</v>
      </c>
      <c r="E22" s="28" t="s">
        <v>315</v>
      </c>
    </row>
    <row r="23" customFormat="false" ht="15" hidden="false" customHeight="false" outlineLevel="0" collapsed="false">
      <c r="A23" s="27" t="s">
        <v>103</v>
      </c>
      <c r="B23" s="28" t="s">
        <v>301</v>
      </c>
      <c r="C23" s="28" t="n">
        <v>0</v>
      </c>
      <c r="D23" s="28" t="s">
        <v>104</v>
      </c>
      <c r="E23" s="28" t="s">
        <v>316</v>
      </c>
    </row>
    <row r="24" customFormat="false" ht="15" hidden="false" customHeight="false" outlineLevel="0" collapsed="false">
      <c r="A24" s="27" t="s">
        <v>106</v>
      </c>
      <c r="B24" s="28" t="s">
        <v>301</v>
      </c>
      <c r="C24" s="28" t="n">
        <v>0</v>
      </c>
      <c r="D24" s="28" t="s">
        <v>107</v>
      </c>
      <c r="E24" s="28" t="s">
        <v>317</v>
      </c>
    </row>
    <row r="25" customFormat="false" ht="15" hidden="false" customHeight="false" outlineLevel="0" collapsed="false">
      <c r="A25" s="27" t="s">
        <v>109</v>
      </c>
      <c r="B25" s="28" t="s">
        <v>301</v>
      </c>
      <c r="C25" s="28" t="n">
        <v>1</v>
      </c>
      <c r="D25" s="28" t="s">
        <v>110</v>
      </c>
      <c r="E25" s="28" t="s">
        <v>166</v>
      </c>
    </row>
    <row r="26" customFormat="false" ht="15" hidden="false" customHeight="false" outlineLevel="0" collapsed="false">
      <c r="A26" s="27" t="s">
        <v>112</v>
      </c>
      <c r="B26" s="28" t="s">
        <v>301</v>
      </c>
      <c r="C26" s="28" t="n">
        <v>0</v>
      </c>
      <c r="D26" s="28" t="s">
        <v>113</v>
      </c>
      <c r="E26" s="28" t="s">
        <v>172</v>
      </c>
    </row>
    <row r="27" customFormat="false" ht="23.85" hidden="false" customHeight="false" outlineLevel="0" collapsed="false">
      <c r="A27" s="27" t="s">
        <v>115</v>
      </c>
      <c r="B27" s="28" t="s">
        <v>301</v>
      </c>
      <c r="C27" s="28" t="n">
        <v>5</v>
      </c>
      <c r="D27" s="28" t="s">
        <v>116</v>
      </c>
      <c r="E27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318</v>
      </c>
      <c r="B1" s="6"/>
      <c r="C1" s="6"/>
      <c r="D1" s="6"/>
    </row>
    <row r="2" customFormat="false" ht="15" hidden="false" customHeight="false" outlineLevel="0" collapsed="false">
      <c r="A2" s="6"/>
      <c r="B2" s="6"/>
      <c r="C2" s="6"/>
      <c r="D2" s="6"/>
    </row>
    <row r="3" customFormat="false" ht="15" hidden="false" customHeight="false" outlineLevel="0" collapsed="false">
      <c r="A3" s="8" t="s">
        <v>319</v>
      </c>
      <c r="B3" s="8" t="s">
        <v>320</v>
      </c>
      <c r="C3" s="8" t="s">
        <v>321</v>
      </c>
      <c r="D3" s="8" t="s">
        <v>140</v>
      </c>
    </row>
    <row r="4" customFormat="false" ht="15" hidden="false" customHeight="false" outlineLevel="0" collapsed="false">
      <c r="A4" s="18" t="s">
        <v>153</v>
      </c>
      <c r="B4" s="18" t="s">
        <v>322</v>
      </c>
      <c r="C4" s="29" t="n">
        <f aca="false">C12/C11</f>
        <v>1.81818181818182</v>
      </c>
      <c r="D4" s="26" t="s">
        <v>323</v>
      </c>
    </row>
    <row r="5" customFormat="false" ht="15" hidden="false" customHeight="false" outlineLevel="0" collapsed="false">
      <c r="A5" s="18" t="s">
        <v>158</v>
      </c>
      <c r="B5" s="18" t="s">
        <v>324</v>
      </c>
      <c r="C5" s="30" t="n">
        <v>1.45</v>
      </c>
      <c r="D5" s="26" t="s">
        <v>325</v>
      </c>
    </row>
    <row r="6" customFormat="false" ht="15" hidden="false" customHeight="false" outlineLevel="0" collapsed="false">
      <c r="A6" s="18" t="s">
        <v>246</v>
      </c>
      <c r="B6" s="18" t="s">
        <v>326</v>
      </c>
      <c r="C6" s="30" t="n">
        <v>1.3</v>
      </c>
      <c r="D6" s="26" t="s">
        <v>327</v>
      </c>
    </row>
    <row r="7" customFormat="false" ht="15" hidden="false" customHeight="false" outlineLevel="0" collapsed="false">
      <c r="A7" s="18" t="s">
        <v>146</v>
      </c>
      <c r="B7" s="18" t="s">
        <v>328</v>
      </c>
      <c r="C7" s="30" t="n">
        <v>1.45</v>
      </c>
      <c r="D7" s="26" t="s">
        <v>329</v>
      </c>
    </row>
    <row r="8" customFormat="false" ht="15" hidden="false" customHeight="false" outlineLevel="0" collapsed="false">
      <c r="A8" s="18" t="s">
        <v>330</v>
      </c>
      <c r="B8" s="18" t="s">
        <v>331</v>
      </c>
      <c r="C8" s="30" t="n">
        <v>1.45</v>
      </c>
      <c r="D8" s="26" t="s">
        <v>332</v>
      </c>
    </row>
    <row r="9" customFormat="false" ht="15" hidden="false" customHeight="false" outlineLevel="0" collapsed="false">
      <c r="A9" s="18" t="s">
        <v>287</v>
      </c>
      <c r="B9" s="18" t="s">
        <v>285</v>
      </c>
      <c r="C9" s="30" t="n">
        <v>1</v>
      </c>
      <c r="D9" s="26" t="s">
        <v>333</v>
      </c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 t="s">
        <v>334</v>
      </c>
      <c r="B11" s="6"/>
      <c r="C11" s="31" t="n">
        <v>55</v>
      </c>
      <c r="D11" s="7" t="s">
        <v>335</v>
      </c>
    </row>
    <row r="12" customFormat="false" ht="15" hidden="false" customHeight="false" outlineLevel="0" collapsed="false">
      <c r="A12" s="6" t="s">
        <v>336</v>
      </c>
      <c r="B12" s="6"/>
      <c r="C12" s="31" t="n">
        <v>100</v>
      </c>
      <c r="D12" s="6"/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 t="s">
        <v>337</v>
      </c>
      <c r="B14" s="6"/>
      <c r="C14" s="32" t="n">
        <v>0.15</v>
      </c>
      <c r="D14" s="7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12" min="3" style="0" width="12"/>
    <col collapsed="false" customWidth="true" hidden="false" outlineLevel="0" max="34" min="13" style="0" width="9"/>
  </cols>
  <sheetData>
    <row r="1" customFormat="false" ht="17.35" hidden="false" customHeight="false" outlineLevel="0" collapsed="false">
      <c r="A1" s="5" t="s">
        <v>339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customFormat="false" ht="15" hidden="false" customHeight="false" outlineLevel="0" collapsed="false">
      <c r="A2" s="7" t="s">
        <v>340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customFormat="false" ht="15" hidden="false" customHeight="false" outlineLevel="0" collapsed="false">
      <c r="A3" s="7" t="s">
        <v>341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customFormat="false" ht="35.05" hidden="false" customHeight="false" outlineLevel="0" collapsed="false">
      <c r="A5" s="8" t="s">
        <v>342</v>
      </c>
      <c r="B5" s="8" t="s">
        <v>343</v>
      </c>
      <c r="C5" s="8" t="s">
        <v>344</v>
      </c>
      <c r="D5" s="8" t="s">
        <v>345</v>
      </c>
      <c r="E5" s="8" t="s">
        <v>346</v>
      </c>
      <c r="F5" s="8" t="s">
        <v>347</v>
      </c>
      <c r="G5" s="8" t="s">
        <v>348</v>
      </c>
      <c r="H5" s="8" t="s">
        <v>349</v>
      </c>
      <c r="I5" s="8" t="s">
        <v>350</v>
      </c>
      <c r="J5" s="8" t="s">
        <v>351</v>
      </c>
      <c r="K5" s="8" t="s">
        <v>352</v>
      </c>
      <c r="L5" s="8" t="s">
        <v>353</v>
      </c>
      <c r="M5" s="8" t="s">
        <v>36</v>
      </c>
      <c r="N5" s="8" t="s">
        <v>40</v>
      </c>
      <c r="O5" s="8" t="s">
        <v>44</v>
      </c>
      <c r="P5" s="8" t="s">
        <v>48</v>
      </c>
      <c r="Q5" s="8" t="s">
        <v>52</v>
      </c>
      <c r="R5" s="8" t="s">
        <v>56</v>
      </c>
      <c r="S5" s="8" t="s">
        <v>60</v>
      </c>
      <c r="T5" s="8" t="s">
        <v>64</v>
      </c>
      <c r="U5" s="8" t="s">
        <v>68</v>
      </c>
      <c r="V5" s="8" t="s">
        <v>71</v>
      </c>
      <c r="W5" s="8" t="s">
        <v>75</v>
      </c>
      <c r="X5" s="8" t="s">
        <v>79</v>
      </c>
      <c r="Y5" s="8" t="s">
        <v>83</v>
      </c>
      <c r="Z5" s="8" t="s">
        <v>86</v>
      </c>
      <c r="AA5" s="8" t="s">
        <v>90</v>
      </c>
      <c r="AB5" s="8" t="s">
        <v>94</v>
      </c>
      <c r="AC5" s="8" t="s">
        <v>97</v>
      </c>
      <c r="AD5" s="8" t="s">
        <v>100</v>
      </c>
      <c r="AE5" s="8" t="s">
        <v>103</v>
      </c>
      <c r="AF5" s="8" t="s">
        <v>106</v>
      </c>
      <c r="AG5" s="8" t="s">
        <v>109</v>
      </c>
      <c r="AH5" s="8" t="s">
        <v>112</v>
      </c>
    </row>
    <row r="6" customFormat="false" ht="15" hidden="false" customHeight="false" outlineLevel="0" collapsed="false">
      <c r="A6" s="18" t="s">
        <v>354</v>
      </c>
      <c r="B6" s="18" t="s">
        <v>355</v>
      </c>
      <c r="C6" s="33" t="n">
        <v>41940.85</v>
      </c>
      <c r="D6" s="33" t="n">
        <v>23513.75</v>
      </c>
      <c r="E6" s="33" t="n">
        <v>34269.25</v>
      </c>
      <c r="F6" s="33" t="n">
        <v>49555</v>
      </c>
      <c r="G6" s="18" t="str">
        <f aca="false">IF(AND(C6&gt;=D6*(1-RangePct),C6&lt;=F6*(1+RangePct)),"Yes","No")</f>
        <v>Yes</v>
      </c>
      <c r="H6" s="33" t="n">
        <v>19425.8</v>
      </c>
      <c r="I6" s="33" t="n">
        <v>17108.5</v>
      </c>
      <c r="J6" s="34" t="n">
        <f aca="false">(I6-H6)/H6</f>
        <v>-0.119289810458257</v>
      </c>
      <c r="K6" s="35" t="n">
        <f aca="false">ABS(J6)</f>
        <v>0.119289810458257</v>
      </c>
      <c r="L6" s="18" t="s">
        <v>34</v>
      </c>
      <c r="M6" s="18" t="n">
        <v>80</v>
      </c>
      <c r="N6" s="18" t="n">
        <v>1</v>
      </c>
      <c r="O6" s="18" t="n">
        <v>1</v>
      </c>
      <c r="P6" s="18" t="n">
        <v>0</v>
      </c>
      <c r="Q6" s="18" t="n">
        <v>3</v>
      </c>
      <c r="R6" s="18" t="n">
        <v>0</v>
      </c>
      <c r="S6" s="18" t="n">
        <v>6</v>
      </c>
      <c r="T6" s="18" t="n">
        <v>1</v>
      </c>
      <c r="U6" s="18" t="n">
        <v>1</v>
      </c>
      <c r="V6" s="18" t="n">
        <v>80</v>
      </c>
      <c r="W6" s="18" t="n">
        <v>1</v>
      </c>
      <c r="X6" s="18" t="n">
        <v>1</v>
      </c>
      <c r="Y6" s="18" t="n">
        <v>0</v>
      </c>
      <c r="Z6" s="18" t="n">
        <v>1</v>
      </c>
      <c r="AA6" s="18" t="n">
        <v>0</v>
      </c>
      <c r="AB6" s="18" t="n">
        <v>0</v>
      </c>
      <c r="AC6" s="18" t="n">
        <v>1</v>
      </c>
      <c r="AD6" s="18" t="n">
        <v>1</v>
      </c>
      <c r="AE6" s="18" t="n">
        <v>0</v>
      </c>
      <c r="AF6" s="18" t="n">
        <v>1</v>
      </c>
      <c r="AG6" s="18" t="n">
        <v>1</v>
      </c>
      <c r="AH6" s="18" t="n">
        <v>0</v>
      </c>
    </row>
    <row r="7" customFormat="false" ht="15" hidden="false" customHeight="false" outlineLevel="0" collapsed="false">
      <c r="A7" s="18" t="s">
        <v>356</v>
      </c>
      <c r="B7" s="18" t="s">
        <v>355</v>
      </c>
      <c r="C7" s="33" t="n">
        <v>38938.78</v>
      </c>
      <c r="D7" s="33" t="n">
        <v>20199.5</v>
      </c>
      <c r="E7" s="33" t="n">
        <v>29265.75</v>
      </c>
      <c r="F7" s="33" t="n">
        <v>41057</v>
      </c>
      <c r="G7" s="18" t="str">
        <f aca="false">IF(AND(C7&gt;=D7*(1-RangePct),C7&lt;=F7*(1+RangePct)),"Yes","No")</f>
        <v>Yes</v>
      </c>
      <c r="H7" s="33" t="n">
        <v>16463.23</v>
      </c>
      <c r="I7" s="33" t="n">
        <v>14845.5</v>
      </c>
      <c r="J7" s="34" t="n">
        <f aca="false">(I7-H7)/H7</f>
        <v>-0.0982632205223398</v>
      </c>
      <c r="K7" s="35" t="n">
        <f aca="false">ABS(J7)</f>
        <v>0.0982632205223398</v>
      </c>
      <c r="L7" s="18" t="s">
        <v>34</v>
      </c>
      <c r="M7" s="18" t="n">
        <v>70</v>
      </c>
      <c r="N7" s="18" t="n">
        <v>1</v>
      </c>
      <c r="O7" s="18" t="n">
        <v>1</v>
      </c>
      <c r="P7" s="18" t="n">
        <v>0</v>
      </c>
      <c r="Q7" s="18" t="n">
        <v>3</v>
      </c>
      <c r="R7" s="18" t="n">
        <v>0</v>
      </c>
      <c r="S7" s="18" t="n">
        <v>3</v>
      </c>
      <c r="T7" s="18" t="n">
        <v>1</v>
      </c>
      <c r="U7" s="18" t="n">
        <v>0</v>
      </c>
      <c r="V7" s="18" t="n">
        <v>120</v>
      </c>
      <c r="W7" s="18" t="n">
        <v>1</v>
      </c>
      <c r="X7" s="18" t="n">
        <v>0</v>
      </c>
      <c r="Y7" s="18" t="n">
        <v>3</v>
      </c>
      <c r="Z7" s="18" t="n">
        <v>2</v>
      </c>
      <c r="AA7" s="18" t="n">
        <v>0</v>
      </c>
      <c r="AB7" s="18" t="n">
        <v>0</v>
      </c>
      <c r="AC7" s="18" t="n">
        <v>0</v>
      </c>
      <c r="AD7" s="18" t="n">
        <v>0</v>
      </c>
      <c r="AE7" s="18" t="n">
        <v>2</v>
      </c>
      <c r="AF7" s="18" t="n">
        <v>0</v>
      </c>
      <c r="AG7" s="18" t="n">
        <v>1</v>
      </c>
      <c r="AH7" s="18" t="n">
        <v>0</v>
      </c>
    </row>
    <row r="8" customFormat="false" ht="15" hidden="false" customHeight="false" outlineLevel="0" collapsed="false">
      <c r="A8" s="18" t="s">
        <v>357</v>
      </c>
      <c r="B8" s="18" t="s">
        <v>355</v>
      </c>
      <c r="C8" s="33" t="n">
        <v>9994.73</v>
      </c>
      <c r="D8" s="33" t="n">
        <v>10484.25</v>
      </c>
      <c r="E8" s="33" t="n">
        <v>17259.5</v>
      </c>
      <c r="F8" s="33" t="n">
        <v>23720.5</v>
      </c>
      <c r="G8" s="18" t="str">
        <f aca="false">IF(AND(C8&gt;=D8*(1-RangePct),C8&lt;=F8*(1+RangePct)),"Yes","No")</f>
        <v>Yes</v>
      </c>
      <c r="H8" s="33" t="n">
        <v>6914.96</v>
      </c>
      <c r="I8" s="33" t="n">
        <v>7127.5</v>
      </c>
      <c r="J8" s="34" t="n">
        <f aca="false">(I8-H8)/H8</f>
        <v>0.0307362587780696</v>
      </c>
      <c r="K8" s="35" t="n">
        <f aca="false">ABS(J8)</f>
        <v>0.0307362587780696</v>
      </c>
      <c r="L8" s="18" t="s">
        <v>33</v>
      </c>
      <c r="M8" s="18" t="n">
        <v>50</v>
      </c>
      <c r="N8" s="18" t="n">
        <v>0</v>
      </c>
      <c r="O8" s="18" t="n">
        <v>1</v>
      </c>
      <c r="P8" s="18" t="n">
        <v>0</v>
      </c>
      <c r="Q8" s="18" t="n">
        <v>2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1</v>
      </c>
      <c r="AH8" s="18" t="n">
        <v>0</v>
      </c>
    </row>
    <row r="9" customFormat="false" ht="15" hidden="false" customHeight="false" outlineLevel="0" collapsed="false">
      <c r="A9" s="18" t="s">
        <v>358</v>
      </c>
      <c r="B9" s="18" t="s">
        <v>355</v>
      </c>
      <c r="C9" s="33" t="n">
        <v>22232.56</v>
      </c>
      <c r="D9" s="33" t="n">
        <v>19232.65</v>
      </c>
      <c r="E9" s="33" t="n">
        <v>28802.05</v>
      </c>
      <c r="F9" s="33" t="n">
        <v>41423.3</v>
      </c>
      <c r="G9" s="18" t="str">
        <f aca="false">IF(AND(C9&gt;=D9*(1-RangePct),C9&lt;=F9*(1+RangePct)),"Yes","No")</f>
        <v>Yes</v>
      </c>
      <c r="H9" s="33" t="n">
        <v>11653.31</v>
      </c>
      <c r="I9" s="33" t="n">
        <v>13917.8</v>
      </c>
      <c r="J9" s="34" t="n">
        <f aca="false">(I9-H9)/H9</f>
        <v>0.194321613344191</v>
      </c>
      <c r="K9" s="35" t="n">
        <f aca="false">ABS(J9)</f>
        <v>0.194321613344191</v>
      </c>
      <c r="L9" s="18" t="s">
        <v>34</v>
      </c>
      <c r="M9" s="18" t="n">
        <v>60</v>
      </c>
      <c r="N9" s="18" t="n">
        <v>1</v>
      </c>
      <c r="O9" s="18" t="n">
        <v>1</v>
      </c>
      <c r="P9" s="18" t="n">
        <v>0</v>
      </c>
      <c r="Q9" s="18" t="n">
        <v>3</v>
      </c>
      <c r="R9" s="18" t="n">
        <v>0</v>
      </c>
      <c r="S9" s="18" t="n">
        <v>3</v>
      </c>
      <c r="T9" s="18" t="n">
        <v>1</v>
      </c>
      <c r="U9" s="18" t="n">
        <v>1</v>
      </c>
      <c r="V9" s="18" t="n">
        <v>72</v>
      </c>
      <c r="W9" s="18" t="n">
        <v>1</v>
      </c>
      <c r="X9" s="18" t="n">
        <v>4</v>
      </c>
      <c r="Y9" s="18" t="n">
        <v>0</v>
      </c>
      <c r="Z9" s="18" t="n">
        <v>1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1</v>
      </c>
      <c r="AH9" s="18" t="n">
        <v>0</v>
      </c>
    </row>
    <row r="10" customFormat="false" ht="15" hidden="false" customHeight="false" outlineLevel="0" collapsed="false">
      <c r="A10" s="18" t="s">
        <v>359</v>
      </c>
      <c r="B10" s="18" t="s">
        <v>355</v>
      </c>
      <c r="C10" s="33" t="n">
        <v>16110.36</v>
      </c>
      <c r="D10" s="33" t="n">
        <v>10139.25</v>
      </c>
      <c r="E10" s="33" t="n">
        <v>16914.5</v>
      </c>
      <c r="F10" s="33" t="n">
        <v>23375.5</v>
      </c>
      <c r="G10" s="18" t="str">
        <f aca="false">IF(AND(C10&gt;=D10*(1-RangePct),C10&lt;=F10*(1+RangePct)),"Yes","No")</f>
        <v>Yes</v>
      </c>
      <c r="H10" s="33" t="n">
        <v>7616.44</v>
      </c>
      <c r="I10" s="33" t="n">
        <v>7982.5</v>
      </c>
      <c r="J10" s="34" t="n">
        <f aca="false">(I10-H10)/H10</f>
        <v>0.0480618241593186</v>
      </c>
      <c r="K10" s="35" t="n">
        <f aca="false">ABS(J10)</f>
        <v>0.0480618241593186</v>
      </c>
      <c r="L10" s="18" t="s">
        <v>34</v>
      </c>
      <c r="M10" s="18" t="n">
        <v>60</v>
      </c>
      <c r="N10" s="18" t="n">
        <v>0</v>
      </c>
      <c r="O10" s="18" t="n">
        <v>1</v>
      </c>
      <c r="P10" s="18" t="n">
        <v>0</v>
      </c>
      <c r="Q10" s="18" t="n">
        <v>1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0</v>
      </c>
      <c r="AC10" s="18" t="n">
        <v>0</v>
      </c>
      <c r="AD10" s="18" t="n">
        <v>0</v>
      </c>
      <c r="AE10" s="18" t="n">
        <v>0</v>
      </c>
      <c r="AF10" s="18" t="n">
        <v>0</v>
      </c>
      <c r="AG10" s="18" t="n">
        <v>1</v>
      </c>
      <c r="AH10" s="18" t="n">
        <v>0</v>
      </c>
    </row>
    <row r="11" customFormat="false" ht="15" hidden="false" customHeight="false" outlineLevel="0" collapsed="false">
      <c r="A11" s="18" t="s">
        <v>360</v>
      </c>
      <c r="B11" s="18" t="s">
        <v>355</v>
      </c>
      <c r="C11" s="33" t="n">
        <v>16135.4</v>
      </c>
      <c r="D11" s="33" t="n">
        <v>18151.25</v>
      </c>
      <c r="E11" s="33" t="n">
        <v>26702.75</v>
      </c>
      <c r="F11" s="33" t="n">
        <v>37116.5</v>
      </c>
      <c r="G11" s="18" t="str">
        <f aca="false">IF(AND(C11&gt;=D11*(1-RangePct),C11&lt;=F11*(1+RangePct)),"Yes","No")</f>
        <v>Yes</v>
      </c>
      <c r="H11" s="33" t="n">
        <v>11259.73</v>
      </c>
      <c r="I11" s="33" t="n">
        <v>12605</v>
      </c>
      <c r="J11" s="34" t="n">
        <f aca="false">(I11-H11)/H11</f>
        <v>0.119476221898749</v>
      </c>
      <c r="K11" s="35" t="n">
        <f aca="false">ABS(J11)</f>
        <v>0.119476221898749</v>
      </c>
      <c r="L11" s="18" t="s">
        <v>33</v>
      </c>
      <c r="M11" s="18" t="n">
        <v>45</v>
      </c>
      <c r="N11" s="18" t="n">
        <v>1</v>
      </c>
      <c r="O11" s="18" t="n">
        <v>1</v>
      </c>
      <c r="P11" s="18" t="n">
        <v>0</v>
      </c>
      <c r="Q11" s="18" t="n">
        <v>3</v>
      </c>
      <c r="R11" s="18" t="n">
        <v>0</v>
      </c>
      <c r="S11" s="18" t="n">
        <v>2</v>
      </c>
      <c r="T11" s="18" t="n">
        <v>1</v>
      </c>
      <c r="U11" s="18" t="n">
        <v>1</v>
      </c>
      <c r="V11" s="18" t="n">
        <v>40</v>
      </c>
      <c r="W11" s="18" t="n">
        <v>1</v>
      </c>
      <c r="X11" s="18" t="n">
        <v>0</v>
      </c>
      <c r="Y11" s="18" t="n">
        <v>0</v>
      </c>
      <c r="Z11" s="18" t="n">
        <v>0</v>
      </c>
      <c r="AA11" s="18" t="n">
        <v>0</v>
      </c>
      <c r="AB11" s="18" t="n">
        <v>0</v>
      </c>
      <c r="AC11" s="18" t="n">
        <v>1</v>
      </c>
      <c r="AD11" s="18" t="n">
        <v>0</v>
      </c>
      <c r="AE11" s="18" t="n">
        <v>0</v>
      </c>
      <c r="AF11" s="18" t="n">
        <v>0</v>
      </c>
      <c r="AG11" s="18" t="n">
        <v>1</v>
      </c>
      <c r="AH11" s="18" t="n">
        <v>0</v>
      </c>
    </row>
    <row r="12" customFormat="false" ht="15" hidden="false" customHeight="false" outlineLevel="0" collapsed="false">
      <c r="A12" s="18" t="s">
        <v>361</v>
      </c>
      <c r="B12" s="18" t="s">
        <v>355</v>
      </c>
      <c r="C12" s="33" t="n">
        <v>38030.3</v>
      </c>
      <c r="D12" s="33" t="n">
        <v>25321.5</v>
      </c>
      <c r="E12" s="33" t="n">
        <v>36504.75</v>
      </c>
      <c r="F12" s="33" t="n">
        <v>52682.25</v>
      </c>
      <c r="G12" s="18" t="str">
        <f aca="false">IF(AND(C12&gt;=D12*(1-RangePct),C12&lt;=F12*(1+RangePct)),"Yes","No")</f>
        <v>Yes</v>
      </c>
      <c r="H12" s="33" t="n">
        <v>19183.44</v>
      </c>
      <c r="I12" s="33" t="n">
        <v>18539.25</v>
      </c>
      <c r="J12" s="34" t="n">
        <f aca="false">(I12-H12)/H12</f>
        <v>-0.0335805257034191</v>
      </c>
      <c r="K12" s="35" t="n">
        <f aca="false">ABS(J12)</f>
        <v>0.0335805257034191</v>
      </c>
      <c r="L12" s="18" t="s">
        <v>34</v>
      </c>
      <c r="M12" s="18" t="n">
        <v>100</v>
      </c>
      <c r="N12" s="18" t="n">
        <v>1</v>
      </c>
      <c r="O12" s="18" t="n">
        <v>1</v>
      </c>
      <c r="P12" s="18" t="n">
        <v>0</v>
      </c>
      <c r="Q12" s="18" t="n">
        <v>4</v>
      </c>
      <c r="R12" s="18" t="n">
        <v>2</v>
      </c>
      <c r="S12" s="18" t="n">
        <v>6</v>
      </c>
      <c r="T12" s="18" t="n">
        <v>2</v>
      </c>
      <c r="U12" s="18" t="n">
        <v>0</v>
      </c>
      <c r="V12" s="18" t="n">
        <v>100</v>
      </c>
      <c r="W12" s="18" t="n">
        <v>1</v>
      </c>
      <c r="X12" s="18" t="n">
        <v>2</v>
      </c>
      <c r="Y12" s="18" t="n">
        <v>0</v>
      </c>
      <c r="Z12" s="18" t="n">
        <v>2</v>
      </c>
      <c r="AA12" s="18" t="n">
        <v>1</v>
      </c>
      <c r="AB12" s="18" t="n">
        <v>0</v>
      </c>
      <c r="AC12" s="18" t="n">
        <v>0</v>
      </c>
      <c r="AD12" s="18" t="n">
        <v>0</v>
      </c>
      <c r="AE12" s="18" t="n">
        <v>0</v>
      </c>
      <c r="AF12" s="18" t="n">
        <v>1</v>
      </c>
      <c r="AG12" s="18" t="n">
        <v>1</v>
      </c>
      <c r="AH12" s="18" t="n">
        <v>0</v>
      </c>
    </row>
    <row r="13" customFormat="false" ht="15" hidden="false" customHeight="false" outlineLevel="0" collapsed="false">
      <c r="A13" s="18" t="s">
        <v>362</v>
      </c>
      <c r="B13" s="18" t="s">
        <v>363</v>
      </c>
      <c r="C13" s="33" t="n">
        <v>22630.83</v>
      </c>
      <c r="D13" s="33" t="n">
        <v>19573.25</v>
      </c>
      <c r="E13" s="33" t="n">
        <v>28864.25</v>
      </c>
      <c r="F13" s="33" t="n">
        <v>40829.5</v>
      </c>
      <c r="G13" s="18" t="str">
        <f aca="false">IF(AND(C13&gt;=D13*(1-RangePct),C13&lt;=F13*(1+RangePct)),"Yes","No")</f>
        <v>Yes</v>
      </c>
      <c r="H13" s="33" t="n">
        <v>16214.74</v>
      </c>
      <c r="I13" s="33" t="n">
        <v>13418</v>
      </c>
      <c r="J13" s="34" t="n">
        <f aca="false">(I13-H13)/H13</f>
        <v>-0.172481334884186</v>
      </c>
      <c r="K13" s="35" t="n">
        <f aca="false">ABS(J13)</f>
        <v>0.172481334884186</v>
      </c>
      <c r="L13" s="18" t="s">
        <v>33</v>
      </c>
      <c r="M13" s="18" t="n">
        <v>50</v>
      </c>
      <c r="N13" s="18" t="n">
        <v>1</v>
      </c>
      <c r="O13" s="18" t="n">
        <v>1</v>
      </c>
      <c r="P13" s="18" t="n">
        <v>0</v>
      </c>
      <c r="Q13" s="18" t="n">
        <v>3</v>
      </c>
      <c r="R13" s="18" t="n">
        <v>0</v>
      </c>
      <c r="S13" s="18" t="n">
        <v>3</v>
      </c>
      <c r="T13" s="18" t="n">
        <v>1</v>
      </c>
      <c r="U13" s="18" t="n">
        <v>1</v>
      </c>
      <c r="V13" s="18" t="n">
        <v>40</v>
      </c>
      <c r="W13" s="18" t="n">
        <v>1</v>
      </c>
      <c r="X13" s="18" t="n">
        <v>2</v>
      </c>
      <c r="Y13" s="18" t="n">
        <v>0</v>
      </c>
      <c r="Z13" s="18" t="n">
        <v>1</v>
      </c>
      <c r="AA13" s="18" t="n">
        <v>0</v>
      </c>
      <c r="AB13" s="18" t="n">
        <v>35</v>
      </c>
      <c r="AC13" s="18" t="n">
        <v>0</v>
      </c>
      <c r="AD13" s="18" t="n">
        <v>0</v>
      </c>
      <c r="AE13" s="18" t="n">
        <v>0</v>
      </c>
      <c r="AF13" s="18" t="n">
        <v>1</v>
      </c>
      <c r="AG13" s="18" t="n">
        <v>1</v>
      </c>
      <c r="AH13" s="18" t="n">
        <v>0</v>
      </c>
    </row>
    <row r="14" customFormat="false" ht="15" hidden="false" customHeight="false" outlineLevel="0" collapsed="false">
      <c r="A14" s="18" t="s">
        <v>364</v>
      </c>
      <c r="B14" s="18" t="s">
        <v>365</v>
      </c>
      <c r="C14" s="33" t="n">
        <v>12745.56</v>
      </c>
      <c r="D14" s="33" t="n">
        <v>12362.62</v>
      </c>
      <c r="E14" s="33" t="n">
        <v>12906.38</v>
      </c>
      <c r="F14" s="33" t="n">
        <v>14126.62</v>
      </c>
      <c r="G14" s="18" t="str">
        <f aca="false">IF(AND(C14&gt;=D14*(1-RangePct),C14&lt;=F14*(1+RangePct)),"Yes","No")</f>
        <v>Yes</v>
      </c>
      <c r="H14" s="33" t="n">
        <v>11362.98</v>
      </c>
      <c r="I14" s="33" t="n">
        <v>11463.62</v>
      </c>
      <c r="J14" s="34" t="n">
        <f aca="false">(I14-H14)/H14</f>
        <v>0.00885683157059163</v>
      </c>
      <c r="K14" s="35" t="n">
        <f aca="false">ABS(J14)</f>
        <v>0.00885683157059163</v>
      </c>
      <c r="L14" s="18" t="s">
        <v>34</v>
      </c>
      <c r="M14" s="18" t="n">
        <v>70</v>
      </c>
      <c r="N14" s="18" t="n">
        <v>1</v>
      </c>
      <c r="O14" s="18" t="n">
        <v>0</v>
      </c>
      <c r="P14" s="18" t="n">
        <v>0</v>
      </c>
      <c r="Q14" s="18" t="n">
        <v>2</v>
      </c>
      <c r="R14" s="18" t="n">
        <v>0</v>
      </c>
      <c r="S14" s="18" t="n">
        <v>0</v>
      </c>
      <c r="T14" s="18" t="n">
        <v>0</v>
      </c>
      <c r="U14" s="18" t="n">
        <v>1</v>
      </c>
      <c r="V14" s="18" t="n">
        <v>70</v>
      </c>
      <c r="W14" s="18" t="n">
        <v>0</v>
      </c>
      <c r="X14" s="18" t="n">
        <v>0</v>
      </c>
      <c r="Y14" s="18" t="n">
        <v>0</v>
      </c>
      <c r="Z14" s="18" t="n">
        <v>1</v>
      </c>
      <c r="AA14" s="18" t="n">
        <v>1</v>
      </c>
      <c r="AB14" s="18" t="n">
        <v>66</v>
      </c>
      <c r="AC14" s="18" t="n">
        <v>0</v>
      </c>
      <c r="AD14" s="18" t="n">
        <v>0</v>
      </c>
      <c r="AE14" s="18" t="n">
        <v>0</v>
      </c>
      <c r="AF14" s="18" t="n">
        <v>0</v>
      </c>
      <c r="AG14" s="18" t="n">
        <v>1</v>
      </c>
      <c r="AH14" s="18" t="n">
        <v>0</v>
      </c>
    </row>
    <row r="15" customFormat="false" ht="15" hidden="false" customHeight="false" outlineLevel="0" collapsed="false">
      <c r="A15" s="18" t="s">
        <v>366</v>
      </c>
      <c r="B15" s="18" t="s">
        <v>365</v>
      </c>
      <c r="C15" s="33" t="n">
        <v>11927.48</v>
      </c>
      <c r="D15" s="33" t="n">
        <v>13724.38</v>
      </c>
      <c r="E15" s="33" t="n">
        <v>16283.62</v>
      </c>
      <c r="F15" s="33" t="n">
        <v>20244.38</v>
      </c>
      <c r="G15" s="18" t="str">
        <f aca="false">IF(AND(C15&gt;=D15*(1-RangePct),C15&lt;=F15*(1+RangePct)),"Yes","No")</f>
        <v>Yes</v>
      </c>
      <c r="H15" s="33" t="n">
        <v>7851.95</v>
      </c>
      <c r="I15" s="33" t="n">
        <v>9844.38</v>
      </c>
      <c r="J15" s="34" t="n">
        <f aca="false">(I15-H15)/H15</f>
        <v>0.253749705487172</v>
      </c>
      <c r="K15" s="35" t="n">
        <f aca="false">ABS(J15)</f>
        <v>0.253749705487172</v>
      </c>
      <c r="L15" s="18" t="s">
        <v>33</v>
      </c>
      <c r="M15" s="18" t="n">
        <v>50</v>
      </c>
      <c r="N15" s="18" t="n">
        <v>1</v>
      </c>
      <c r="O15" s="18" t="n">
        <v>0</v>
      </c>
      <c r="P15" s="18" t="n">
        <v>1</v>
      </c>
      <c r="Q15" s="18" t="n">
        <v>1</v>
      </c>
      <c r="R15" s="18" t="n">
        <v>0</v>
      </c>
      <c r="S15" s="18" t="n">
        <v>0</v>
      </c>
      <c r="T15" s="18" t="n">
        <v>0</v>
      </c>
      <c r="U15" s="18" t="n">
        <v>0</v>
      </c>
      <c r="V15" s="18" t="n">
        <v>50</v>
      </c>
      <c r="W15" s="18" t="n">
        <v>1</v>
      </c>
      <c r="X15" s="18" t="n">
        <v>2</v>
      </c>
      <c r="Y15" s="18" t="n">
        <v>0</v>
      </c>
      <c r="Z15" s="18" t="n">
        <v>0</v>
      </c>
      <c r="AA15" s="18" t="n">
        <v>0</v>
      </c>
      <c r="AB15" s="18" t="n">
        <v>0</v>
      </c>
      <c r="AC15" s="18" t="n">
        <v>0</v>
      </c>
      <c r="AD15" s="18" t="n">
        <v>0</v>
      </c>
      <c r="AE15" s="18" t="n">
        <v>0</v>
      </c>
      <c r="AF15" s="18" t="n">
        <v>1</v>
      </c>
      <c r="AG15" s="18" t="n">
        <v>1</v>
      </c>
      <c r="AH15" s="18" t="n">
        <v>0</v>
      </c>
    </row>
    <row r="16" customFormat="false" ht="15" hidden="false" customHeight="false" outlineLevel="0" collapsed="false">
      <c r="A16" s="18" t="s">
        <v>367</v>
      </c>
      <c r="B16" s="18" t="s">
        <v>365</v>
      </c>
      <c r="C16" s="33" t="n">
        <v>34489.41</v>
      </c>
      <c r="D16" s="33" t="n">
        <v>24587.33</v>
      </c>
      <c r="E16" s="33" t="n">
        <v>35170.28</v>
      </c>
      <c r="F16" s="33" t="n">
        <v>49885.78</v>
      </c>
      <c r="G16" s="18" t="str">
        <f aca="false">IF(AND(C16&gt;=D16*(1-RangePct),C16&lt;=F16*(1+RangePct)),"Yes","No")</f>
        <v>Yes</v>
      </c>
      <c r="H16" s="33" t="n">
        <v>13731.63</v>
      </c>
      <c r="I16" s="33" t="n">
        <v>16211.27</v>
      </c>
      <c r="J16" s="34" t="n">
        <f aca="false">(I16-H16)/H16</f>
        <v>0.18057870769894</v>
      </c>
      <c r="K16" s="35" t="n">
        <f aca="false">ABS(J16)</f>
        <v>0.18057870769894</v>
      </c>
      <c r="L16" s="18" t="s">
        <v>35</v>
      </c>
      <c r="M16" s="18" t="n">
        <v>90</v>
      </c>
      <c r="N16" s="18" t="n">
        <v>1</v>
      </c>
      <c r="O16" s="18" t="n">
        <v>1</v>
      </c>
      <c r="P16" s="18" t="n">
        <v>0</v>
      </c>
      <c r="Q16" s="18" t="n">
        <v>3</v>
      </c>
      <c r="R16" s="18" t="n">
        <v>1</v>
      </c>
      <c r="S16" s="18" t="n">
        <v>6</v>
      </c>
      <c r="T16" s="18" t="n">
        <v>1</v>
      </c>
      <c r="U16" s="18" t="n">
        <v>0</v>
      </c>
      <c r="V16" s="18" t="n">
        <v>66</v>
      </c>
      <c r="W16" s="18" t="n">
        <v>1</v>
      </c>
      <c r="X16" s="18" t="n">
        <v>1</v>
      </c>
      <c r="Y16" s="18" t="n">
        <v>0</v>
      </c>
      <c r="Z16" s="18" t="n">
        <v>1</v>
      </c>
      <c r="AA16" s="18" t="n">
        <v>0</v>
      </c>
      <c r="AB16" s="18" t="n">
        <v>0</v>
      </c>
      <c r="AC16" s="18" t="n">
        <v>3</v>
      </c>
      <c r="AD16" s="18" t="n">
        <v>0</v>
      </c>
      <c r="AE16" s="18" t="n">
        <v>0</v>
      </c>
      <c r="AF16" s="18" t="n">
        <v>1</v>
      </c>
      <c r="AG16" s="18" t="n">
        <v>1</v>
      </c>
      <c r="AH16" s="18" t="n">
        <v>0</v>
      </c>
    </row>
    <row r="17" customFormat="false" ht="15" hidden="false" customHeight="false" outlineLevel="0" collapsed="false">
      <c r="A17" s="18" t="s">
        <v>368</v>
      </c>
      <c r="B17" s="18" t="s">
        <v>365</v>
      </c>
      <c r="C17" s="33" t="n">
        <v>50605.58</v>
      </c>
      <c r="D17" s="33" t="n">
        <v>23987.75</v>
      </c>
      <c r="E17" s="33" t="n">
        <v>35765.5</v>
      </c>
      <c r="F17" s="33" t="n">
        <v>53161</v>
      </c>
      <c r="G17" s="18" t="str">
        <f aca="false">IF(AND(C17&gt;=D17*(1-RangePct),C17&lt;=F17*(1+RangePct)),"Yes","No")</f>
        <v>Yes</v>
      </c>
      <c r="H17" s="33" t="n">
        <v>16028.51</v>
      </c>
      <c r="I17" s="33" t="n">
        <v>13769</v>
      </c>
      <c r="J17" s="34" t="n">
        <f aca="false">(I17-H17)/H17</f>
        <v>-0.140968187311235</v>
      </c>
      <c r="K17" s="35" t="n">
        <f aca="false">ABS(J17)</f>
        <v>0.140968187311235</v>
      </c>
      <c r="L17" s="18" t="s">
        <v>35</v>
      </c>
      <c r="M17" s="18" t="n">
        <v>120</v>
      </c>
      <c r="N17" s="18" t="n">
        <v>1</v>
      </c>
      <c r="O17" s="18" t="n">
        <v>1</v>
      </c>
      <c r="P17" s="18" t="n">
        <v>0</v>
      </c>
      <c r="Q17" s="18" t="n">
        <v>4</v>
      </c>
      <c r="R17" s="18" t="n">
        <v>0</v>
      </c>
      <c r="S17" s="18" t="n">
        <v>7</v>
      </c>
      <c r="T17" s="18" t="n">
        <v>2</v>
      </c>
      <c r="U17" s="18" t="n">
        <v>0</v>
      </c>
      <c r="V17" s="18" t="n">
        <v>80</v>
      </c>
      <c r="W17" s="18" t="n">
        <v>2</v>
      </c>
      <c r="X17" s="18" t="n">
        <v>2</v>
      </c>
      <c r="Y17" s="18" t="n">
        <v>0</v>
      </c>
      <c r="Z17" s="18" t="n">
        <v>2</v>
      </c>
      <c r="AA17" s="18" t="n">
        <v>1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1</v>
      </c>
      <c r="AG17" s="18" t="n">
        <v>1</v>
      </c>
      <c r="AH17" s="18" t="n">
        <v>0</v>
      </c>
    </row>
    <row r="18" customFormat="false" ht="15" hidden="false" customHeight="false" outlineLevel="0" collapsed="false">
      <c r="A18" s="18" t="s">
        <v>369</v>
      </c>
      <c r="B18" s="18" t="s">
        <v>365</v>
      </c>
      <c r="C18" s="33" t="n">
        <v>26339.47</v>
      </c>
      <c r="D18" s="33" t="n">
        <v>24909.94</v>
      </c>
      <c r="E18" s="33" t="n">
        <v>34940.44</v>
      </c>
      <c r="F18" s="33" t="n">
        <v>50093.19</v>
      </c>
      <c r="G18" s="18" t="str">
        <f aca="false">IF(AND(C18&gt;=D18*(1-RangePct),C18&lt;=F18*(1+RangePct)),"Yes","No")</f>
        <v>Yes</v>
      </c>
      <c r="H18" s="33" t="n">
        <v>16936.88</v>
      </c>
      <c r="I18" s="33" t="n">
        <v>16507.19</v>
      </c>
      <c r="J18" s="34" t="n">
        <f aca="false">(I18-H18)/H18</f>
        <v>-0.025370079967503</v>
      </c>
      <c r="K18" s="35" t="n">
        <f aca="false">ABS(J18)</f>
        <v>0.025370079967503</v>
      </c>
      <c r="L18" s="18" t="s">
        <v>33</v>
      </c>
      <c r="M18" s="18" t="n">
        <v>60</v>
      </c>
      <c r="N18" s="18" t="n">
        <v>1</v>
      </c>
      <c r="O18" s="18" t="n">
        <v>1</v>
      </c>
      <c r="P18" s="18" t="n">
        <v>0</v>
      </c>
      <c r="Q18" s="18" t="n">
        <v>3</v>
      </c>
      <c r="R18" s="18" t="n">
        <v>1</v>
      </c>
      <c r="S18" s="18" t="n">
        <v>4</v>
      </c>
      <c r="T18" s="18" t="n">
        <v>1</v>
      </c>
      <c r="U18" s="18" t="n">
        <v>0</v>
      </c>
      <c r="V18" s="18" t="n">
        <v>465</v>
      </c>
      <c r="W18" s="18" t="n">
        <v>0</v>
      </c>
      <c r="X18" s="18" t="n">
        <v>1</v>
      </c>
      <c r="Y18" s="18" t="n">
        <v>0</v>
      </c>
      <c r="Z18" s="18" t="n">
        <v>1</v>
      </c>
      <c r="AA18" s="18" t="n">
        <v>0</v>
      </c>
      <c r="AB18" s="18" t="n">
        <v>0</v>
      </c>
      <c r="AC18" s="18" t="n">
        <v>0</v>
      </c>
      <c r="AD18" s="18" t="n">
        <v>0</v>
      </c>
      <c r="AE18" s="18" t="n">
        <v>0</v>
      </c>
      <c r="AF18" s="18" t="n">
        <v>1</v>
      </c>
      <c r="AG18" s="18" t="n">
        <v>2</v>
      </c>
      <c r="AH18" s="18" t="n">
        <v>0</v>
      </c>
    </row>
    <row r="19" customFormat="false" ht="15" hidden="false" customHeight="false" outlineLevel="0" collapsed="false">
      <c r="A19" s="18" t="s">
        <v>370</v>
      </c>
      <c r="B19" s="18" t="s">
        <v>365</v>
      </c>
      <c r="C19" s="33" t="n">
        <v>58511.88</v>
      </c>
      <c r="D19" s="33" t="n">
        <v>28199.38</v>
      </c>
      <c r="E19" s="33" t="n">
        <v>40818.12</v>
      </c>
      <c r="F19" s="33" t="n">
        <v>60135.62</v>
      </c>
      <c r="G19" s="18" t="str">
        <f aca="false">IF(AND(C19&gt;=D19*(1-RangePct),C19&lt;=F19*(1+RangePct)),"Yes","No")</f>
        <v>Yes</v>
      </c>
      <c r="H19" s="33" t="n">
        <v>18729.93</v>
      </c>
      <c r="I19" s="33" t="n">
        <v>16826.62</v>
      </c>
      <c r="J19" s="34" t="n">
        <f aca="false">(I19-H19)/H19</f>
        <v>-0.101618639258129</v>
      </c>
      <c r="K19" s="35" t="n">
        <f aca="false">ABS(J19)</f>
        <v>0.101618639258129</v>
      </c>
      <c r="L19" s="18" t="s">
        <v>35</v>
      </c>
      <c r="M19" s="18" t="n">
        <v>150</v>
      </c>
      <c r="N19" s="18" t="n">
        <v>1</v>
      </c>
      <c r="O19" s="18" t="n">
        <v>1</v>
      </c>
      <c r="P19" s="18" t="n">
        <v>0</v>
      </c>
      <c r="Q19" s="18" t="n">
        <v>4</v>
      </c>
      <c r="R19" s="18" t="n">
        <v>1</v>
      </c>
      <c r="S19" s="18" t="n">
        <v>8</v>
      </c>
      <c r="T19" s="18" t="n">
        <v>2</v>
      </c>
      <c r="U19" s="18" t="n">
        <v>0</v>
      </c>
      <c r="V19" s="18" t="n">
        <v>150</v>
      </c>
      <c r="W19" s="18" t="n">
        <v>0</v>
      </c>
      <c r="X19" s="18" t="n">
        <v>6</v>
      </c>
      <c r="Y19" s="18" t="n">
        <v>0</v>
      </c>
      <c r="Z19" s="18" t="n">
        <v>0</v>
      </c>
      <c r="AA19" s="18" t="n">
        <v>0</v>
      </c>
      <c r="AB19" s="18" t="n">
        <v>0</v>
      </c>
      <c r="AC19" s="18" t="n">
        <v>1</v>
      </c>
      <c r="AD19" s="18" t="n">
        <v>0</v>
      </c>
      <c r="AE19" s="18" t="n">
        <v>0</v>
      </c>
      <c r="AF19" s="18" t="n">
        <v>0</v>
      </c>
      <c r="AG19" s="18" t="n">
        <v>1</v>
      </c>
      <c r="AH19" s="18" t="n">
        <v>30</v>
      </c>
    </row>
    <row r="20" customFormat="false" ht="15" hidden="false" customHeight="false" outlineLevel="0" collapsed="false">
      <c r="A20" s="18" t="s">
        <v>371</v>
      </c>
      <c r="B20" s="18" t="s">
        <v>365</v>
      </c>
      <c r="C20" s="33" t="n">
        <v>10936.56</v>
      </c>
      <c r="D20" s="33" t="n">
        <v>10139.25</v>
      </c>
      <c r="E20" s="33" t="n">
        <v>16914.5</v>
      </c>
      <c r="F20" s="33" t="n">
        <v>23375.5</v>
      </c>
      <c r="G20" s="18" t="str">
        <f aca="false">IF(AND(C20&gt;=D20*(1-RangePct),C20&lt;=F20*(1+RangePct)),"Yes","No")</f>
        <v>Yes</v>
      </c>
      <c r="H20" s="33" t="n">
        <v>6385.09</v>
      </c>
      <c r="I20" s="33" t="n">
        <v>6782.5</v>
      </c>
      <c r="J20" s="34" t="n">
        <f aca="false">(I20-H20)/H20</f>
        <v>0.0622403129791436</v>
      </c>
      <c r="K20" s="35" t="n">
        <f aca="false">ABS(J20)</f>
        <v>0.0622403129791436</v>
      </c>
      <c r="L20" s="18" t="s">
        <v>33</v>
      </c>
      <c r="M20" s="18" t="n">
        <v>50</v>
      </c>
      <c r="N20" s="18" t="n">
        <v>0</v>
      </c>
      <c r="O20" s="18" t="n">
        <v>1</v>
      </c>
      <c r="P20" s="18" t="n">
        <v>0</v>
      </c>
      <c r="Q20" s="18" t="n">
        <v>1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  <c r="AD20" s="18" t="n">
        <v>0</v>
      </c>
      <c r="AE20" s="18" t="n">
        <v>0</v>
      </c>
      <c r="AF20" s="18" t="n">
        <v>0</v>
      </c>
      <c r="AG20" s="18" t="n">
        <v>1</v>
      </c>
      <c r="AH20" s="18" t="n">
        <v>0</v>
      </c>
    </row>
    <row r="21" customFormat="false" ht="15" hidden="false" customHeight="false" outlineLevel="0" collapsed="false">
      <c r="A21" s="18" t="s">
        <v>372</v>
      </c>
      <c r="B21" s="18" t="s">
        <v>363</v>
      </c>
      <c r="C21" s="33" t="n">
        <v>19868.1</v>
      </c>
      <c r="D21" s="33" t="n">
        <v>12383.25</v>
      </c>
      <c r="E21" s="33" t="n">
        <v>19332.5</v>
      </c>
      <c r="F21" s="33" t="n">
        <v>26214</v>
      </c>
      <c r="G21" s="18" t="str">
        <f aca="false">IF(AND(C21&gt;=D21*(1-RangePct),C21&lt;=F21*(1+RangePct)),"Yes","No")</f>
        <v>Yes</v>
      </c>
      <c r="H21" s="33" t="n">
        <v>7066.83</v>
      </c>
      <c r="I21" s="33" t="n">
        <v>7116</v>
      </c>
      <c r="J21" s="34" t="n">
        <f aca="false">(I21-H21)/H21</f>
        <v>0.00695785804950736</v>
      </c>
      <c r="K21" s="35" t="n">
        <f aca="false">ABS(J21)</f>
        <v>0.00695785804950736</v>
      </c>
      <c r="L21" s="18" t="s">
        <v>35</v>
      </c>
      <c r="M21" s="18" t="n">
        <v>50</v>
      </c>
      <c r="N21" s="18" t="n">
        <v>0</v>
      </c>
      <c r="O21" s="18" t="n">
        <v>1</v>
      </c>
      <c r="P21" s="18" t="n">
        <v>0</v>
      </c>
      <c r="Q21" s="18" t="n">
        <v>1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1</v>
      </c>
      <c r="X21" s="18" t="n">
        <v>0</v>
      </c>
      <c r="Y21" s="18" t="n">
        <v>4</v>
      </c>
      <c r="Z21" s="18" t="n">
        <v>1</v>
      </c>
      <c r="AA21" s="18" t="n">
        <v>0</v>
      </c>
      <c r="AB21" s="18" t="n">
        <v>0</v>
      </c>
      <c r="AC21" s="18" t="n">
        <v>0</v>
      </c>
      <c r="AD21" s="18" t="n">
        <v>0</v>
      </c>
      <c r="AE21" s="18" t="n">
        <v>2</v>
      </c>
      <c r="AF21" s="18" t="n">
        <v>0</v>
      </c>
      <c r="AG21" s="18" t="n">
        <v>1</v>
      </c>
      <c r="AH21" s="18" t="n">
        <v>0</v>
      </c>
    </row>
    <row r="22" customFormat="false" ht="15" hidden="false" customHeight="false" outlineLevel="0" collapsed="false">
      <c r="A22" s="18" t="s">
        <v>373</v>
      </c>
      <c r="B22" s="18" t="s">
        <v>365</v>
      </c>
      <c r="C22" s="33" t="n">
        <v>22485.58</v>
      </c>
      <c r="D22" s="33" t="n">
        <v>19197.75</v>
      </c>
      <c r="E22" s="33" t="n">
        <v>28278.5</v>
      </c>
      <c r="F22" s="33" t="n">
        <v>39655</v>
      </c>
      <c r="G22" s="18" t="str">
        <f aca="false">IF(AND(C22&gt;=D22*(1-RangePct),C22&lt;=F22*(1+RangePct)),"Yes","No")</f>
        <v>Yes</v>
      </c>
      <c r="H22" s="33" t="n">
        <v>13119.21</v>
      </c>
      <c r="I22" s="33" t="n">
        <v>14822.5</v>
      </c>
      <c r="J22" s="34" t="n">
        <f aca="false">(I22-H22)/H22</f>
        <v>0.129831750539857</v>
      </c>
      <c r="K22" s="35" t="n">
        <f aca="false">ABS(J22)</f>
        <v>0.129831750539857</v>
      </c>
      <c r="L22" s="18" t="s">
        <v>34</v>
      </c>
      <c r="M22" s="18" t="n">
        <v>60</v>
      </c>
      <c r="N22" s="18" t="n">
        <v>1</v>
      </c>
      <c r="O22" s="18" t="n">
        <v>1</v>
      </c>
      <c r="P22" s="18" t="n">
        <v>0</v>
      </c>
      <c r="Q22" s="18" t="n">
        <v>3</v>
      </c>
      <c r="R22" s="18" t="n">
        <v>0</v>
      </c>
      <c r="S22" s="18" t="n">
        <v>3</v>
      </c>
      <c r="T22" s="18" t="n">
        <v>1</v>
      </c>
      <c r="U22" s="18" t="n">
        <v>0</v>
      </c>
      <c r="V22" s="18" t="n">
        <v>0</v>
      </c>
      <c r="W22" s="18" t="n">
        <v>1</v>
      </c>
      <c r="X22" s="18" t="n">
        <v>2</v>
      </c>
      <c r="Y22" s="18" t="n">
        <v>0</v>
      </c>
      <c r="Z22" s="18" t="n">
        <v>1</v>
      </c>
      <c r="AA22" s="18" t="n">
        <v>0</v>
      </c>
      <c r="AB22" s="18" t="n">
        <v>0</v>
      </c>
      <c r="AC22" s="18" t="n">
        <v>0</v>
      </c>
      <c r="AD22" s="18" t="n">
        <v>1</v>
      </c>
      <c r="AE22" s="18" t="n">
        <v>0</v>
      </c>
      <c r="AF22" s="18" t="n">
        <v>0</v>
      </c>
      <c r="AG22" s="18" t="n">
        <v>1</v>
      </c>
      <c r="AH22" s="18" t="n">
        <v>0</v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customFormat="false" ht="15" hidden="false" customHeight="false" outlineLevel="0" collapsed="false">
      <c r="A24" s="15" t="s">
        <v>374</v>
      </c>
      <c r="B24" s="6"/>
      <c r="C24" s="36" t="n">
        <f aca="false">MEDIAN(K6:K22)</f>
        <v>0.101618639258129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customFormat="false" ht="15" hidden="false" customHeight="false" outlineLevel="0" collapsed="false">
      <c r="A25" s="15" t="s">
        <v>375</v>
      </c>
      <c r="B25" s="6"/>
      <c r="C25" s="15" t="str">
        <f aca="false">SUMPRODUCT(--(ABS(J6:J22)&lt;=0.15))&amp;" of "&amp;COUNT(J6:J22)</f>
        <v>13 of 17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customFormat="false" ht="15" hidden="false" customHeight="false" outlineLevel="0" collapsed="false">
      <c r="A26" s="15" t="s">
        <v>376</v>
      </c>
      <c r="B26" s="6"/>
      <c r="C26" s="37" t="n">
        <f aca="false">AVERAGE(J6:J22)</f>
        <v>0.0201905462588514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customFormat="false" ht="15" hidden="false" customHeight="false" outlineLevel="0" collapsed="false">
      <c r="A27" s="15" t="s">
        <v>377</v>
      </c>
      <c r="B27" s="6"/>
      <c r="C27" s="15" t="str">
        <f aca="false">COUNTIF(G6:G22,"Yes")&amp;" of "&amp;COUNTA(G6:G22)</f>
        <v>17 of 17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customFormat="false" ht="15" hidden="false" customHeight="false" outlineLevel="0" collapsed="false">
      <c r="A29" s="7" t="s">
        <v>378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2026-09-28T01:18:25Z</dcterms:created>
  <dc:creator>openpyxl</dc:creator>
  <dc:description/>
  <dc:language>en-US</dc:language>
  <cp:lastModifiedBy/>
  <dcterms:modified xsi:type="dcterms:W3CDTF">2026-09-28T01:18:25Z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