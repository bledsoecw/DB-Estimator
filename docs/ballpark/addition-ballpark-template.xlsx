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Calculator" sheetId="2" state="visible" r:id="rId4"/>
    <sheet name="Template" sheetId="3" state="visible" r:id="rId5"/>
    <sheet name="Parameters" sheetId="4" state="visible" r:id="rId6"/>
    <sheet name="Rates" sheetId="5" state="visible" r:id="rId7"/>
    <sheet name="Calibration" sheetId="6" state="visible" r:id="rId8"/>
  </sheets>
  <definedNames>
    <definedName function="false" hidden="false" name="LaborCost" vbProcedure="false">Rates!$C$11</definedName>
    <definedName function="false" hidden="false" name="MarkupCodes" vbProcedure="false">Rates!$A$4:$A$9</definedName>
    <definedName function="false" hidden="false" name="MarkupVals" vbProcedure="false">Rates!$C$4:$C$9</definedName>
    <definedName function="false" hidden="false" name="p_Addition_Basement" vbProcedure="false">Calculator!$B$12</definedName>
    <definedName function="false" hidden="false" name="p_Addition_Contingency_Rate" vbProcedure="false">Calculator!$B$33</definedName>
    <definedName function="false" hidden="false" name="p_Addition_Crawl_Space" vbProcedure="false">Calculator!$B$10</definedName>
    <definedName function="false" hidden="false" name="p_Addition_Depth" vbProcedure="false">Calculator!$B$6</definedName>
    <definedName function="false" hidden="false" name="p_Addition_Detached" vbProcedure="false">Calculator!$B$9</definedName>
    <definedName function="false" hidden="false" name="p_Addition_Drywall" vbProcedure="false">Calculator!$B$17</definedName>
    <definedName function="false" hidden="false" name="p_Addition_Dumpster_Loads" vbProcedure="false">Calculator!$B$31</definedName>
    <definedName function="false" hidden="false" name="p_Addition_Electrical" vbProcedure="false">Calculator!$B$16</definedName>
    <definedName function="false" hidden="false" name="p_Addition_Exterior_Doors" vbProcedure="false">Calculator!$B$20</definedName>
    <definedName function="false" hidden="false" name="p_Addition_Extra_Siding_Squares" vbProcedure="false">Calculator!$B$28</definedName>
    <definedName function="false" hidden="false" name="p_Addition_Garage_Doors" vbProcedure="false">Calculator!$B$22</definedName>
    <definedName function="false" hidden="false" name="p_Addition_HVAC_Extend" vbProcedure="false">Calculator!$B$26</definedName>
    <definedName function="false" hidden="false" name="p_Addition_HVAC_New_Unit" vbProcedure="false">Calculator!$B$27</definedName>
    <definedName function="false" hidden="false" name="p_Addition_Interior_Doors" vbProcedure="false">Calculator!$B$23</definedName>
    <definedName function="false" hidden="false" name="p_Addition_Living_Space" vbProcedure="false">Calculator!$B$18</definedName>
    <definedName function="false" hidden="false" name="p_Addition_Patio_Doors" vbProcedure="false">Calculator!$B$21</definedName>
    <definedName function="false" hidden="false" name="p_Addition_Permit_Fee" vbProcedure="false">Calculator!$B$34</definedName>
    <definedName function="false" hidden="false" name="p_Addition_Piers" vbProcedure="false">Calculator!$B$13</definedName>
    <definedName function="false" hidden="false" name="p_Addition_Plumbing_Fixtures" vbProcedure="false">Calculator!$B$25</definedName>
    <definedName function="false" hidden="false" name="p_Addition_Roof_Tie_In" vbProcedure="false">Calculator!$B$15</definedName>
    <definedName function="false" hidden="false" name="p_Addition_Service_Zone" vbProcedure="false">Calculator!$B$32</definedName>
    <definedName function="false" hidden="false" name="p_Addition_Site_Excavation" vbProcedure="false">Calculator!$B$14</definedName>
    <definedName function="false" hidden="false" name="p_Addition_Slab" vbProcedure="false">Calculator!$B$11</definedName>
    <definedName function="false" hidden="false" name="p_Addition_Stories" vbProcedure="false">Calculator!$B$7</definedName>
    <definedName function="false" hidden="false" name="p_Addition_Structure_Removed" vbProcedure="false">Calculator!$B$29</definedName>
    <definedName function="false" hidden="false" name="p_Addition_Utility_Trench" vbProcedure="false">Calculator!$B$30</definedName>
    <definedName function="false" hidden="false" name="p_Addition_Wall_Height" vbProcedure="false">Calculator!$B$8</definedName>
    <definedName function="false" hidden="false" name="p_Addition_Wall_Openings" vbProcedure="false">Calculator!$B$24</definedName>
    <definedName function="false" hidden="false" name="p_Addition_Width" vbProcedure="false">Calculator!$B$5</definedName>
    <definedName function="false" hidden="false" name="p_Addition_Windows" vbProcedure="false">Calculator!$B$19</definedName>
    <definedName function="false" hidden="false" name="RangePct" vbProcedure="false">Rates!$C$14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<sst xmlns="http://schemas.openxmlformats.org/spreadsheetml/2006/main" count="1030" uniqueCount="533">
  <si>
    <t xml:space="preserve">Addition Ballpark Template — DRAFT for review</t>
  </si>
  <si>
    <t xml:space="preserve">Deitemeyer Brothers · General Construction · drafted 27 Sep 2026 · decisions applied 28 Sep 2026</t>
  </si>
  <si>
    <t xml:space="preserve">What this is</t>
  </si>
  <si>
    <t xml:space="preserve">The build sheet for a formula-driven addition ballpark in JobTread, plus a working calculator so the numbers can be checked before anything is built.</t>
  </si>
  <si>
    <t xml:space="preserve">It prices a room addition, sunroom or detached garage at Good / Better / Best from 28 site-visit measurements, using DB's catalog rates and markup. It runs on the same engine as the bathroom and kitchen templates.</t>
  </si>
  <si>
    <t xml:space="preserve">A bathroom or kitchen inside the addition is priced by that room's own template on the same job. This template prices only the plumbing rough-in to reach it.</t>
  </si>
  <si>
    <t xml:space="preserve">How to use it</t>
  </si>
  <si>
    <t xml:space="preserve">1. Calculator tab: type the site-visit numbers into the yellow cells. The three totals and ranges update.</t>
  </si>
  <si>
    <t xml:space="preserve">2. Template tab: every JobTread line with its cost group, cost code, unit, exact quantity formula, and unit cost and price per tier.</t>
  </si>
  <si>
    <t xml:space="preserve">3. Parameters tab: the 28 site-visit parameters plus the contingency rate, which the estimator sets. Each starts with 'Addition ' so it never collides with a bath or kitchen on the same job.</t>
  </si>
  <si>
    <t xml:space="preserve">4. Rates tab: markup by cost type, and the ± band. It is set to ±20% for additions.</t>
  </si>
  <si>
    <t xml:space="preserve">5. Calibration tab: how the template compares with DB's addition estimates, total and block by block.</t>
  </si>
  <si>
    <t xml:space="preserve">Legend</t>
  </si>
  <si>
    <t xml:space="preserve">Yellow fill, blue text: an input you can change. Black text: a formula. Grey text: notes and sources.</t>
  </si>
  <si>
    <t xml:space="preserve">Cost type U is labor the catalog prices per square, foot or piece (siding, roofing, gutters). It is JobTread's Labor type, marked up ×1.45 as the catalog does.</t>
  </si>
  <si>
    <t xml:space="preserve">How much to trust it</t>
  </si>
  <si>
    <t xml:space="preserve">Checked against eight addition estimates: six signed, one pending, one lost. Seven land within 15% of DB's price for the same scope (median 9%, no bias). The eighth, a sunroom tear-down with deck work and a PVC roof deck, is 41% under; it is outside what this template prices.</t>
  </si>
  <si>
    <t xml:space="preserve">This is an in-sample check. The inputs were rebuilt from those same estimates, and three rates were set against them. Block by block the errors are much larger (often 30–60% either way) and cancel in the total.</t>
  </si>
  <si>
    <t xml:space="preserve">Additions also vary more than bathrooms: foundation, roof and siding choices move the price more than the finish tier does. So the ballpark is quoted at ±20%, and every addition goes on to the Design &amp; Pricing Agreement.</t>
  </si>
  <si>
    <t xml:space="preserve">Decided 28 Sep 2026</t>
  </si>
  <si>
    <t xml:space="preserve">Contingency is its own line on each tier at 10%. The estimator sets the Addition Contingency Rate. The checks compare prices before contingency, because DB's past estimates carried none.</t>
  </si>
  <si>
    <t xml:space="preserve">Allowances are stated as customer prices (JobTread allowance type: price). No total changes; an overage or a credit is simply the difference in price.</t>
  </si>
  <si>
    <t xml:space="preserve">Products per tier: the estimator and the designer name one product per Good / Better / Best cell and lock the grid for six months (draft in the proposal, §9).</t>
  </si>
  <si>
    <t xml:space="preserve">Framing lumber: the catalog item Framing/Sheathing Materials is updated to $22.50 per SF (from $17.65), so this template uses the catalog rate.</t>
  </si>
  <si>
    <t xml:space="preserve">Every $0 line on an estimate names who supplies it: (by owner), (by others) or (not included).</t>
  </si>
  <si>
    <t xml:space="preserve">Source for every rate: DB's catalog and addition estimates, read from JobTread (read-only) on 27 Sep 2026. See Calibration tab.</t>
  </si>
  <si>
    <t xml:space="preserve">Addition Ballpark Calculator</t>
  </si>
  <si>
    <t xml:space="preserve">Type the site-visit numbers into the yellow cells. Example values below are a 16 x 20 family room on a crawl space with four windows and a patio door, not a real customer.</t>
  </si>
  <si>
    <t xml:space="preserve">Site-visit measurement</t>
  </si>
  <si>
    <t xml:space="preserve">Value</t>
  </si>
  <si>
    <t xml:space="preserve">What to enter</t>
  </si>
  <si>
    <t xml:space="preserve">JobTread parameter name</t>
  </si>
  <si>
    <t xml:space="preserve">Ballpark</t>
  </si>
  <si>
    <t xml:space="preserve">Good</t>
  </si>
  <si>
    <t xml:space="preserve">Better</t>
  </si>
  <si>
    <t xml:space="preserve">Best</t>
  </si>
  <si>
    <t xml:space="preserve">Addition Width</t>
  </si>
  <si>
    <t xml:space="preserve">Feet along the house wall (for a detached building, the front wall)</t>
  </si>
  <si>
    <t xml:space="preserve">{Addition Width}</t>
  </si>
  <si>
    <t xml:space="preserve">Phase 1 - General Requirements</t>
  </si>
  <si>
    <t xml:space="preserve">Addition Depth</t>
  </si>
  <si>
    <t xml:space="preserve">Feet out from the house</t>
  </si>
  <si>
    <t xml:space="preserve">{Addition Depth}</t>
  </si>
  <si>
    <t xml:space="preserve">Phase 2 - Foundation &amp; Framing</t>
  </si>
  <si>
    <t xml:space="preserve">Addition Stories</t>
  </si>
  <si>
    <t xml:space="preserve">Finished floors on the new footprint: 1 or 2</t>
  </si>
  <si>
    <t xml:space="preserve">{Addition Stories}</t>
  </si>
  <si>
    <t xml:space="preserve">Phase 3 - Exterior &amp; Rough-In</t>
  </si>
  <si>
    <t xml:space="preserve">Addition Wall Height</t>
  </si>
  <si>
    <t xml:space="preserve">Wall height in feet per storey (8 for most rooms; 9–10 for garages)</t>
  </si>
  <si>
    <t xml:space="preserve">{Addition Wall Height}</t>
  </si>
  <si>
    <t xml:space="preserve">Phase 4 - Interior</t>
  </si>
  <si>
    <t xml:space="preserve">Addition Detached</t>
  </si>
  <si>
    <t xml:space="preserve">1 = stand-alone building such as a garage (four new walls, no tie-in); 0 = attached</t>
  </si>
  <si>
    <t xml:space="preserve">{Addition Detached}</t>
  </si>
  <si>
    <t xml:space="preserve">Finish selections (tier)</t>
  </si>
  <si>
    <t xml:space="preserve">Addition Crawl Space</t>
  </si>
  <si>
    <t xml:space="preserve">1 = new crawl-space foundation. Set exactly one foundation to 1.</t>
  </si>
  <si>
    <t xml:space="preserve">{Addition Crawl Space}</t>
  </si>
  <si>
    <t xml:space="preserve">Contingency (the Addition Contingency Rate)</t>
  </si>
  <si>
    <t xml:space="preserve">Addition Slab</t>
  </si>
  <si>
    <t xml:space="preserve">1 = footed slab with a 6-inch stem wall (garages, slab rooms)</t>
  </si>
  <si>
    <t xml:space="preserve">{Addition Slab}</t>
  </si>
  <si>
    <t xml:space="preserve">Ballpark total</t>
  </si>
  <si>
    <t xml:space="preserve">Addition Basement</t>
  </si>
  <si>
    <t xml:space="preserve">1 = full basement under the addition</t>
  </si>
  <si>
    <t xml:space="preserve">{Addition Basement}</t>
  </si>
  <si>
    <t xml:space="preserve">Check: equals Template total</t>
  </si>
  <si>
    <t xml:space="preserve">Addition Piers</t>
  </si>
  <si>
    <t xml:space="preserve">Posts or piers, for a porch-type addition on piers (count). 0 for any other foundation.</t>
  </si>
  <si>
    <t xml:space="preserve">{Addition Piers}</t>
  </si>
  <si>
    <t xml:space="preserve">Addition Site Excavation</t>
  </si>
  <si>
    <t xml:space="preserve">1 = DB digs, grades or trenches (tight access, slope, drainage). 0 = the concrete sub's price covers it.</t>
  </si>
  <si>
    <t xml:space="preserve">{Addition Site Excavation}</t>
  </si>
  <si>
    <t xml:space="preserve">Budget range shown to customer</t>
  </si>
  <si>
    <t xml:space="preserve">Addition Roof Tie-In</t>
  </si>
  <si>
    <t xml:space="preserve">0 = none (detached); 1 = simple shed or gable against the house; 2 = cross-gable or valley</t>
  </si>
  <si>
    <t xml:space="preserve">{Addition Roof Tie-In}</t>
  </si>
  <si>
    <t xml:space="preserve">Low</t>
  </si>
  <si>
    <t xml:space="preserve">Addition Electrical</t>
  </si>
  <si>
    <t xml:space="preserve">1 = wired: outlets, lights, switches. 0 = shell only.</t>
  </si>
  <si>
    <t xml:space="preserve">{Addition Electrical}</t>
  </si>
  <si>
    <t xml:space="preserve">High</t>
  </si>
  <si>
    <t xml:space="preserve">Addition Drywall</t>
  </si>
  <si>
    <t xml:space="preserve">1 = insulated, drywalled and painted (rooms, finished garages). 0 = shell or three-season porch.</t>
  </si>
  <si>
    <t xml:space="preserve">{Addition Drywall}</t>
  </si>
  <si>
    <t xml:space="preserve">Addition Living Space</t>
  </si>
  <si>
    <t xml:space="preserve">1 = finished living space: flooring, trim and more coordination. 0 = garage, porch or shell.</t>
  </si>
  <si>
    <t xml:space="preserve">{Addition Living Space}</t>
  </si>
  <si>
    <t xml:space="preserve">Totals exclude sales tax and the design agreement fee.</t>
  </si>
  <si>
    <t xml:space="preserve">Addition Windows</t>
  </si>
  <si>
    <t xml:space="preserve">New windows in the addition</t>
  </si>
  <si>
    <t xml:space="preserve">{Addition Windows}</t>
  </si>
  <si>
    <t xml:space="preserve">The ± band is set on the Rates tab.</t>
  </si>
  <si>
    <t xml:space="preserve">Addition Exterior Doors</t>
  </si>
  <si>
    <t xml:space="preserve">New entry or service doors</t>
  </si>
  <si>
    <t xml:space="preserve">{Addition Exterior Doors}</t>
  </si>
  <si>
    <t xml:space="preserve">Addition Patio Doors</t>
  </si>
  <si>
    <t xml:space="preserve">New sliding or hinged patio doors</t>
  </si>
  <si>
    <t xml:space="preserve">{Addition Patio Doors}</t>
  </si>
  <si>
    <t xml:space="preserve">Addition Garage Doors</t>
  </si>
  <si>
    <t xml:space="preserve">Overhead garage doors</t>
  </si>
  <si>
    <t xml:space="preserve">{Addition Garage Doors}</t>
  </si>
  <si>
    <t xml:space="preserve">Addition Interior Doors</t>
  </si>
  <si>
    <t xml:space="preserve">Interior doors, including closet and bathroom doors</t>
  </si>
  <si>
    <t xml:space="preserve">{Addition Interior Doors}</t>
  </si>
  <si>
    <t xml:space="preserve">Addition Wall Openings</t>
  </si>
  <si>
    <t xml:space="preserve">Openings cut into the existing house wall (a doorway or wider, with a header)</t>
  </si>
  <si>
    <t xml:space="preserve">{Addition Wall Openings}</t>
  </si>
  <si>
    <t xml:space="preserve">Addition Plumbing Fixtures</t>
  </si>
  <si>
    <t xml:space="preserve">Fixtures that need new drain and supply run into the addition. Their finish is priced by the bath or kitchen template.</t>
  </si>
  <si>
    <t xml:space="preserve">{Addition Plumbing Fixtures}</t>
  </si>
  <si>
    <t xml:space="preserve">Addition HVAC Extend</t>
  </si>
  <si>
    <t xml:space="preserve">1 = extend the existing ductwork into the addition</t>
  </si>
  <si>
    <t xml:space="preserve">{Addition HVAC Extend}</t>
  </si>
  <si>
    <t xml:space="preserve">Addition HVAC New Unit</t>
  </si>
  <si>
    <t xml:space="preserve">1 = new mini-split or dedicated system for the addition</t>
  </si>
  <si>
    <t xml:space="preserve">{Addition HVAC New Unit}</t>
  </si>
  <si>
    <t xml:space="preserve">Addition Extra Siding Squares</t>
  </si>
  <si>
    <t xml:space="preserve">Squares of the house's own siding to replace so it matches (100 SF = 1 square)</t>
  </si>
  <si>
    <t xml:space="preserve">{Addition Extra Siding Squares}</t>
  </si>
  <si>
    <t xml:space="preserve">Addition Structure Removed</t>
  </si>
  <si>
    <t xml:space="preserve">SF of existing porch, deck, sunroom or room torn down first</t>
  </si>
  <si>
    <t xml:space="preserve">{Addition Structure Removed}</t>
  </si>
  <si>
    <t xml:space="preserve">Addition Utility Trench</t>
  </si>
  <si>
    <t xml:space="preserve">Feet of trench to feed power to a detached building</t>
  </si>
  <si>
    <t xml:space="preserve">{Addition Utility Trench}</t>
  </si>
  <si>
    <t xml:space="preserve">Addition Dumpster Loads</t>
  </si>
  <si>
    <t xml:space="preserve">Haul-away loads (1 for most additions; 2–3 with a tear-down)</t>
  </si>
  <si>
    <t xml:space="preserve">{Addition Dumpster Loads}</t>
  </si>
  <si>
    <t xml:space="preserve">Addition Service Zone</t>
  </si>
  <si>
    <t xml:space="preserve">Service Zone from the job in JobTread: 1 (within ~15 mi), 2 (~15-30 mi), 3 (~30-50 mi). Zone 1 adds no travel. Extended (over 50 mi) is quoted by hand: enter 4 as a floor and flag it.</t>
  </si>
  <si>
    <t xml:space="preserve">{Addition Service Zone}</t>
  </si>
  <si>
    <t xml:space="preserve">Addition Contingency Rate</t>
  </si>
  <si>
    <t xml:space="preserve">Contingency as a % of the tier total, set by the estimator: 10 for additions and structural work</t>
  </si>
  <si>
    <t xml:space="preserve">{Addition Contingency Rate}</t>
  </si>
  <si>
    <t xml:space="preserve">Addition Permit Fee</t>
  </si>
  <si>
    <t xml:space="preserve">Permit fee DB pays the city or township, in dollars (cost), from the permit table on the Rates tab. The estimator sets it from the job address.</t>
  </si>
  <si>
    <t xml:space="preserve">{Addition Permit Fee}</t>
  </si>
  <si>
    <t xml:space="preserve">JobTread build sheet: cost group "BALLPARK — Addition"</t>
  </si>
  <si>
    <t xml:space="preserve">One row per JobTread line. Paste the quantity formula exactly as written into the catalog item. Rows marked [each tier] become one item in each of the Good, Better and Best option groups, at that tier's cost. Rows marked with a single tier go only in that option. All other rows are common scope.</t>
  </si>
  <si>
    <t xml:space="preserve">#</t>
  </si>
  <si>
    <t xml:space="preserve">JobTread cost group path</t>
  </si>
  <si>
    <t xml:space="preserve">Line item</t>
  </si>
  <si>
    <t xml:space="preserve">Cost code</t>
  </si>
  <si>
    <t xml:space="preserve">Unit</t>
  </si>
  <si>
    <t xml:space="preserve">JobTread quantity formula</t>
  </si>
  <si>
    <t xml:space="preserve">Qty (live)</t>
  </si>
  <si>
    <t xml:space="preserve">Good cost</t>
  </si>
  <si>
    <t xml:space="preserve">Good type</t>
  </si>
  <si>
    <t xml:space="preserve">Good unit price</t>
  </si>
  <si>
    <t xml:space="preserve">Good total</t>
  </si>
  <si>
    <t xml:space="preserve">Better cost</t>
  </si>
  <si>
    <t xml:space="preserve">Better type</t>
  </si>
  <si>
    <t xml:space="preserve">Better unit price</t>
  </si>
  <si>
    <t xml:space="preserve">Better total</t>
  </si>
  <si>
    <t xml:space="preserve">Best cost</t>
  </si>
  <si>
    <t xml:space="preserve">Best type</t>
  </si>
  <si>
    <t xml:space="preserve">Best unit price</t>
  </si>
  <si>
    <t xml:space="preserve">Best total</t>
  </si>
  <si>
    <t xml:space="preserve">Allowance type</t>
  </si>
  <si>
    <t xml:space="preserve">Note</t>
  </si>
  <si>
    <t xml:space="preserve">BALLPARK — Addition &gt; Phase 1 - General Requirements &gt; Permits</t>
  </si>
  <si>
    <t xml:space="preserve">Permit</t>
  </si>
  <si>
    <t xml:space="preserve">General Requirements</t>
  </si>
  <si>
    <t xml:space="preserve">Lump Sum</t>
  </si>
  <si>
    <t xml:space="preserve">O</t>
  </si>
  <si>
    <t xml:space="preserve">Quantity is the permit fee in dollars at $1.00 each, so it can follow the jurisdiction: the estimator enters the fee from the permit table on the Rates tab as the Permit Fee parameter. Marked up like other costs.</t>
  </si>
  <si>
    <t xml:space="preserve">BALLPARK — Addition &gt; Phase 1 - General Requirements &gt; Project/Site Management</t>
  </si>
  <si>
    <t xml:space="preserve">Project Management (C)</t>
  </si>
  <si>
    <t xml:space="preserve">Project Management</t>
  </si>
  <si>
    <t xml:space="preserve">Hours</t>
  </si>
  <si>
    <t xml:space="preserve">6 + {Addition Living Space}*ceil({Addition Width}*{Addition Depth}*{Addition Stories}/30)</t>
  </si>
  <si>
    <t xml:space="preserve">L</t>
  </si>
  <si>
    <t xml:space="preserve">BALLPARK — Addition &gt; Phase 1 - General Requirements &gt; Site Preparation</t>
  </si>
  <si>
    <t xml:space="preserve">Site Prep Material</t>
  </si>
  <si>
    <t xml:space="preserve">Site Construction</t>
  </si>
  <si>
    <t xml:space="preserve">Each</t>
  </si>
  <si>
    <t xml:space="preserve">1</t>
  </si>
  <si>
    <t xml:space="preserve">M</t>
  </si>
  <si>
    <t xml:space="preserve">Site Prep Labor</t>
  </si>
  <si>
    <t xml:space="preserve">Site Prep/Clean Up</t>
  </si>
  <si>
    <t xml:space="preserve">4 + ceil({Addition Width}*{Addition Depth}*{Addition Stories}/200)</t>
  </si>
  <si>
    <t xml:space="preserve">Rentals &amp; Delivery</t>
  </si>
  <si>
    <t xml:space="preserve">1 + ceil({Addition Width}*{Addition Depth}*{Addition Stories}/400) + 3*{Addition Living Space}</t>
  </si>
  <si>
    <t xml:space="preserve">P-Pod, dumpster buggy and deliveries. A finished room runs longer and carries about three more rental weeks.</t>
  </si>
  <si>
    <t xml:space="preserve">BALLPARK — Addition &gt; Phase 1 - General Requirements &gt; Demolition</t>
  </si>
  <si>
    <t xml:space="preserve">Demolition</t>
  </si>
  <si>
    <t xml:space="preserve">4*(1 - {Addition Detached}) + ceil({Addition Structure Removed}/3) + 8*{Addition Wall Openings}</t>
  </si>
  <si>
    <t xml:space="preserve">4 h to open up an attached addition, 1 h per 3 SF of structure torn down, and 8 h per opening cut into the house.</t>
  </si>
  <si>
    <t xml:space="preserve">BALLPARK — Addition &gt; Phase 1 - General Requirements &gt; Site Clean Up</t>
  </si>
  <si>
    <t xml:space="preserve">Hauling &amp; Disposal</t>
  </si>
  <si>
    <t xml:space="preserve">Hauling &amp; Disposal (Direct)</t>
  </si>
  <si>
    <t xml:space="preserve">Uses DB's existing catalog item: $250 cost / $450 price per load.</t>
  </si>
  <si>
    <t xml:space="preserve">Final Clean</t>
  </si>
  <si>
    <t xml:space="preserve">2 + 2*{Addition Living Space}</t>
  </si>
  <si>
    <t xml:space="preserve">BALLPARK — Addition &gt; Phase 1 - General Requirements &gt; Travel</t>
  </si>
  <si>
    <t xml:space="preserve">Travel</t>
  </si>
  <si>
    <t xml:space="preserve">Travel Related Costs</t>
  </si>
  <si>
    <t xml:space="preserve">ceil(({Addition Service Zone} - 1)*({Addition Service Zone} + 2)/8*((6 + {Addition Living Space}*ceil({Addition Width}*{Addition Depth}*{Addition Stories}/30)) + (4 + ceil({Addition Width}*{Addition Depth}*{Addition Stories}/200)) + (4*(1 - {Addition Detached}) + ceil({Addition Structure Removed}/3) + 8*{Addition Wall Openings}) + (2 + 2*{Addition Living Space}) + (16*{Addition Site Excavation}) + (3*{Addition Piers}) + (ceil({Addition Width}*{Addition Depth}*{Addition Stories}/6) + 8*{Addition Wall Openings} + 8*{Addition Roof Tie-In}) + (ceil(({Addition Width} + 2*{Addition Depth} + {Addition Detached}*{Addition Width})*{Addition Wall Height}*{Addition Stories}*1.15/100) + {Addition Extra Siding Squares}) + (ceil(2.5*{Addition Windows})) + (8*{Addition Exterior Doors} + 8*{Addition Patio Doors} + 3*{Addition Interior Doors}) + (9*{Addition Plumbing Fixtures}) + ({Addition Electrical}*(8 + ceil({Addition Width}*{Addition Depth}*{Addition Stories}/16))) + ({Addition Drywall}*ceil({Addition Width}*{Addition Depth}*{Addition Stories}/12)) + ({Addition Drywall}*ceil({Addition Width}*{Addition Depth}*{Addition Stories}/15)) + ({Addition Living Space}*ceil({Addition Width}*{Addition Depth}*{Addition Stories}/25)) + ({Addition Living Space}*(4 + ceil(({Addition Width} + 2*{Addition Depth} + {Addition Detached}*{Addition Width})*{Addition Stories}/8) + {Addition Windows} + {Addition Exterior Doors} + {Addition Patio Doors})))/8)</t>
  </si>
  <si>
    <t xml:space="preserve">Travel by the job's Service Zone (JobTread sets it from the address): hours = person-days x (z-1)(z+2)/8, which is 0, 0.5 and 1.25 h per person-day for Zones 1, 2 and 3. Those are DB's own Service Call zone charges ($85 / $115 / $155 cost) turned into travel time. Extended (over 50 mi) is quoted by hand; zone 4 gives 2.25 h per person-day as a floor.</t>
  </si>
  <si>
    <t xml:space="preserve">BALLPARK — Addition &gt; Phase 1 - General Requirements &gt; Utilities</t>
  </si>
  <si>
    <t xml:space="preserve">Utility - Electric</t>
  </si>
  <si>
    <t xml:space="preserve">Utility Connection</t>
  </si>
  <si>
    <t xml:space="preserve">Linear Feet</t>
  </si>
  <si>
    <t xml:space="preserve">Catalog item, per foot of trench to a detached building. Matched both garage estimates.</t>
  </si>
  <si>
    <t xml:space="preserve">BALLPARK — Addition &gt; Phase 2 - Foundation &amp; Framing &gt; Site Work</t>
  </si>
  <si>
    <t xml:space="preserve">Excavation &amp; Grading</t>
  </si>
  <si>
    <t xml:space="preserve">Excavation</t>
  </si>
  <si>
    <t xml:space="preserve">16*{Addition Site Excavation}</t>
  </si>
  <si>
    <t xml:space="preserve">Only when DB digs or grades. Most concrete subs include excavation in their price.</t>
  </si>
  <si>
    <t xml:space="preserve">Rental - Mini Excavator</t>
  </si>
  <si>
    <t xml:space="preserve">Day</t>
  </si>
  <si>
    <t xml:space="preserve">2*{Addition Site Excavation}</t>
  </si>
  <si>
    <t xml:space="preserve">BALLPARK — Addition &gt; Phase 2 - Foundation &amp; Framing &gt; Foundation</t>
  </si>
  <si>
    <t xml:space="preserve">Concrete Foundation - Crawl</t>
  </si>
  <si>
    <t xml:space="preserve">Concrete</t>
  </si>
  <si>
    <t xml:space="preserve">Square Foot</t>
  </si>
  <si>
    <t xml:space="preserve">{Addition Crawl Space}*{Addition Width}*{Addition Depth}</t>
  </si>
  <si>
    <t xml:space="preserve">DB catalog item. Matched 258410's crawl-space sub to within 1% ($26.30 against $26.20 price per SF).</t>
  </si>
  <si>
    <t xml:space="preserve">Concrete Foundation - 6" Stem</t>
  </si>
  <si>
    <t xml:space="preserve">{Addition Slab}*{Addition Width}*{Addition Depth}</t>
  </si>
  <si>
    <t xml:space="preserve">DB catalog item: 3 ft footing, 6 in stem wall, 4 in slab. The 14x24 garage's sub ran $45.60 per SF; small slabs cost more per foot.</t>
  </si>
  <si>
    <t xml:space="preserve">Concrete Foundation - Basement</t>
  </si>
  <si>
    <t xml:space="preserve">{Addition Basement}*{Addition Width}*{Addition Depth}</t>
  </si>
  <si>
    <t xml:space="preserve">DB catalog item. No basement addition in the data; this line is untested.</t>
  </si>
  <si>
    <t xml:space="preserve">Concrete Piers</t>
  </si>
  <si>
    <t xml:space="preserve">Per pier or post, with the labor line beside it. From the porch-type addition on three piers.</t>
  </si>
  <si>
    <t xml:space="preserve">Pier Labor</t>
  </si>
  <si>
    <t xml:space="preserve">3*{Addition Piers}</t>
  </si>
  <si>
    <t xml:space="preserve">BALLPARK — Addition &gt; Phase 2 - Foundation &amp; Framing &gt; Framing</t>
  </si>
  <si>
    <t xml:space="preserve">Framing/Sheathing Materials</t>
  </si>
  <si>
    <t xml:space="preserve">Woods &amp; Plastics</t>
  </si>
  <si>
    <t xml:space="preserve">{Addition Width}*{Addition Depth}*{Addition Stories}</t>
  </si>
  <si>
    <t xml:space="preserve">DB catalog item, updated to $22.50 cost per SF of floor (from $17.65) to match DB's two most recent lumber quotes ($22.8 and $22.4). Check it against the latest quote every quarter.</t>
  </si>
  <si>
    <t xml:space="preserve">Header &amp; Opening Material</t>
  </si>
  <si>
    <t xml:space="preserve">Framing/Sheathing Labor</t>
  </si>
  <si>
    <t xml:space="preserve">Framing/Sheeting</t>
  </si>
  <si>
    <t xml:space="preserve">ceil({Addition Width}*{Addition Depth}*{Addition Stories}/6) + 8*{Addition Wall Openings} + 8*{Addition Roof Tie-In}</t>
  </si>
  <si>
    <t xml:space="preserve">1 h per 6 SF of floor, plus 8 h per wall opening and per tie-in level. Matched DB's hours on 258410 (84 against 86) and 258551 (60 against 62). A framing sub costs about the same: $19 per SF price.</t>
  </si>
  <si>
    <t xml:space="preserve">BALLPARK — Addition &gt; Phase 3 - Exterior &amp; Rough-In &gt; Roofing</t>
  </si>
  <si>
    <t xml:space="preserve">Gutters &amp; Downspouts</t>
  </si>
  <si>
    <t xml:space="preserve">Roofing</t>
  </si>
  <si>
    <t xml:space="preserve">{Addition Width} + {Addition Depth} + 20</t>
  </si>
  <si>
    <t xml:space="preserve">Width + depth + 20 ft of downspout. Matched the 25-8197 and 260109 gutter lines within 10%.</t>
  </si>
  <si>
    <t xml:space="preserve">Gutter Labor</t>
  </si>
  <si>
    <t xml:space="preserve">U</t>
  </si>
  <si>
    <t xml:space="preserve">BALLPARK — Addition &gt; Phase 3 - Exterior &amp; Rough-In &gt; Siding</t>
  </si>
  <si>
    <t xml:space="preserve">Soffit &amp; Fascia Material</t>
  </si>
  <si>
    <t xml:space="preserve">Siding</t>
  </si>
  <si>
    <t xml:space="preserve">({Addition Width} + 2*{Addition Depth} + {Addition Detached}*{Addition Width})</t>
  </si>
  <si>
    <t xml:space="preserve">Fascia and Soffit Install</t>
  </si>
  <si>
    <t xml:space="preserve">S</t>
  </si>
  <si>
    <t xml:space="preserve">House Wrap Labor</t>
  </si>
  <si>
    <t xml:space="preserve">ceil(({Addition Width} + 2*{Addition Depth} + {Addition Detached}*{Addition Width})*{Addition Wall Height}*{Addition Stories}*1.15/100) + {Addition Extra Siding Squares}</t>
  </si>
  <si>
    <t xml:space="preserve">One hour per square, as on 25-8197, 258410 and 260109.</t>
  </si>
  <si>
    <t xml:space="preserve">Siding Labor</t>
  </si>
  <si>
    <t xml:space="preserve">Square</t>
  </si>
  <si>
    <t xml:space="preserve">Catalog $160 per square ($232 price). One garage estimate charged $326 per square.</t>
  </si>
  <si>
    <t xml:space="preserve">Siding Labor for Flashing</t>
  </si>
  <si>
    <t xml:space="preserve">2*(1 - {Addition Detached})</t>
  </si>
  <si>
    <t xml:space="preserve">BALLPARK — Addition &gt; Phase 3 - Exterior &amp; Rough-In &gt; Windows &amp; Doors</t>
  </si>
  <si>
    <t xml:space="preserve">Window Labor</t>
  </si>
  <si>
    <t xml:space="preserve">Windows</t>
  </si>
  <si>
    <t xml:space="preserve">ceil(2.5*{Addition Windows})</t>
  </si>
  <si>
    <t xml:space="preserve">Exterior Door &amp; Lockset</t>
  </si>
  <si>
    <t xml:space="preserve">Doors</t>
  </si>
  <si>
    <t xml:space="preserve">Same as the kitchen template. 258410's entry door and lockset were $1,834 price.</t>
  </si>
  <si>
    <t xml:space="preserve">Garage Door</t>
  </si>
  <si>
    <t xml:space="preserve">Catalog Garage Door, installed by the sub. Neither garage estimate priced its overhead doors; if the owner supplies them, keep the line at $0 and name it (by owner).</t>
  </si>
  <si>
    <t xml:space="preserve">Garage Door Wrapping</t>
  </si>
  <si>
    <t xml:space="preserve">Door Labor</t>
  </si>
  <si>
    <t xml:space="preserve">8*{Addition Exterior Doors} + 8*{Addition Patio Doors} + 3*{Addition Interior Doors}</t>
  </si>
  <si>
    <t xml:space="preserve">BALLPARK — Addition &gt; Phase 3 - Exterior &amp; Rough-In &gt; Plumbing &amp; HVAC</t>
  </si>
  <si>
    <t xml:space="preserve">Plumbing Materials</t>
  </si>
  <si>
    <t xml:space="preserve">Mechanical (Plumbing &amp; HVAC)</t>
  </si>
  <si>
    <t xml:space="preserve">Rough-in only: $250 and 9 h per fixture, from 258410's bathroom (37 h and $914 for four fixtures). The fixtures and finishes come from the bathroom or kitchen template.</t>
  </si>
  <si>
    <t xml:space="preserve">Plumbing Labor</t>
  </si>
  <si>
    <t xml:space="preserve">9*{Addition Plumbing Fixtures}</t>
  </si>
  <si>
    <t xml:space="preserve">HVAC Extension (sub)</t>
  </si>
  <si>
    <t xml:space="preserve">Matches the $1,703 duct extension on 258684.</t>
  </si>
  <si>
    <t xml:space="preserve">HVAC New Unit (sub)</t>
  </si>
  <si>
    <t xml:space="preserve">Median of DB's four addition HVAC subs, $7,979 to $13,000 price.</t>
  </si>
  <si>
    <t xml:space="preserve">BALLPARK — Addition &gt; Phase 3 - Exterior &amp; Rough-In &gt; Electrical</t>
  </si>
  <si>
    <t xml:space="preserve">Electrical Materials</t>
  </si>
  <si>
    <t xml:space="preserve">Electrical</t>
  </si>
  <si>
    <t xml:space="preserve">{Addition Electrical}*{Addition Width}*{Addition Depth}*{Addition Stories}</t>
  </si>
  <si>
    <t xml:space="preserve">DB catalog: $2.61 cost per SF of floor, the same as the kitchen template.</t>
  </si>
  <si>
    <t xml:space="preserve">Electrical Labor</t>
  </si>
  <si>
    <t xml:space="preserve">{Addition Electrical}*(8 + ceil({Addition Width}*{Addition Depth}*{Addition Stories}/16))</t>
  </si>
  <si>
    <t xml:space="preserve">8 h plus 1 h per 16 SF. DB ranged 22–41 h on 273–420 SF rooms.</t>
  </si>
  <si>
    <t xml:space="preserve">BALLPARK — Addition &gt; Phase 4 - Interior &gt; Insulation</t>
  </si>
  <si>
    <t xml:space="preserve">Insulation - Sub</t>
  </si>
  <si>
    <t xml:space="preserve">Finishes</t>
  </si>
  <si>
    <t xml:space="preserve">{Addition Drywall}*{Addition Width}*{Addition Depth}*{Addition Stories}</t>
  </si>
  <si>
    <t xml:space="preserve">DB catalog: $8.52 cost per SF of floor, covering walls, attic and crawl.</t>
  </si>
  <si>
    <t xml:space="preserve">BALLPARK — Addition &gt; Phase 4 - Interior &gt; Drywall</t>
  </si>
  <si>
    <t xml:space="preserve">Drywall Board - Mat</t>
  </si>
  <si>
    <t xml:space="preserve">DB prices drywall board and mud per SF of floor (catalog items), not per SF of board.</t>
  </si>
  <si>
    <t xml:space="preserve">Drywall Mud - Mat</t>
  </si>
  <si>
    <t xml:space="preserve">Drywall Labor</t>
  </si>
  <si>
    <t xml:space="preserve">Drywall</t>
  </si>
  <si>
    <t xml:space="preserve">{Addition Drywall}*ceil({Addition Width}*{Addition Depth}*{Addition Stories}/12)</t>
  </si>
  <si>
    <t xml:space="preserve">BALLPARK — Addition &gt; Phase 4 - Interior &gt; Paint</t>
  </si>
  <si>
    <t xml:space="preserve">Paint</t>
  </si>
  <si>
    <t xml:space="preserve">Gallons</t>
  </si>
  <si>
    <t xml:space="preserve">{Addition Drywall}*ceil({Addition Width}*{Addition Depth}*{Addition Stories}/60)</t>
  </si>
  <si>
    <t xml:space="preserve">Paint Labor</t>
  </si>
  <si>
    <t xml:space="preserve">Painting</t>
  </si>
  <si>
    <t xml:space="preserve">{Addition Drywall}*ceil({Addition Width}*{Addition Depth}*{Addition Stories}/15)</t>
  </si>
  <si>
    <t xml:space="preserve">BALLPARK — Addition &gt; Phase 4 - Interior &gt; Interior Doors</t>
  </si>
  <si>
    <t xml:space="preserve">Interior Door</t>
  </si>
  <si>
    <t xml:space="preserve">Same as the kitchen template: $400 plus 3 h each.</t>
  </si>
  <si>
    <t xml:space="preserve">BALLPARK — Addition &gt; Phase 4 - Interior &gt; Flooring</t>
  </si>
  <si>
    <t xml:space="preserve">Flooring - Misc. Material</t>
  </si>
  <si>
    <t xml:space="preserve">{Addition Living Space}*{Addition Width}*{Addition Depth}*{Addition Stories}</t>
  </si>
  <si>
    <t xml:space="preserve">Flooring Labor</t>
  </si>
  <si>
    <t xml:space="preserve">Flooring</t>
  </si>
  <si>
    <t xml:space="preserve">{Addition Living Space}*ceil({Addition Width}*{Addition Depth}*{Addition Stories}/25)</t>
  </si>
  <si>
    <t xml:space="preserve">BALLPARK — Addition &gt; Phase 4 - Interior &gt; Interior Trims &amp; Finishes</t>
  </si>
  <si>
    <t xml:space="preserve">Trim - Baseboard</t>
  </si>
  <si>
    <t xml:space="preserve">{Addition Living Space}*ceil(({Addition Width} + 2*{Addition Depth} + {Addition Detached}*{Addition Width})*{Addition Stories}/12)</t>
  </si>
  <si>
    <t xml:space="preserve">Trim - Casing</t>
  </si>
  <si>
    <t xml:space="preserve">{Addition Living Space}*({Addition Windows} + {Addition Exterior Doors} + {Addition Patio Doors})</t>
  </si>
  <si>
    <t xml:space="preserve">Trim Labor</t>
  </si>
  <si>
    <t xml:space="preserve">Interior Trim/Casing/Paneling</t>
  </si>
  <si>
    <t xml:space="preserve">{Addition Living Space}*(4 + ceil(({Addition Width} + 2*{Addition Depth} + {Addition Detached}*{Addition Width})*{Addition Stories}/8) + {Addition Windows} + {Addition Exterior Doors} + {Addition Patio Doors})</t>
  </si>
  <si>
    <t xml:space="preserve">BALLPARK — Addition &gt; Finish Level (select one) &gt; [each tier]</t>
  </si>
  <si>
    <t xml:space="preserve">Roofing Material</t>
  </si>
  <si>
    <t xml:space="preserve">ceil({Addition Width}*{Addition Depth}*1.25/100) + 2*{Addition Roof Tie-In}</t>
  </si>
  <si>
    <t xml:space="preserve">Price</t>
  </si>
  <si>
    <t xml:space="preserve">Per square, including underlayment, ice and water, starter, ridge and drip edge. Good matches OC Duration ($203–$240 cost per square with accessories on 258410 and 25-8197). Stone-coated steel or PVC roofs cost 2–3 times Best; price those by hand.</t>
  </si>
  <si>
    <t xml:space="preserve">Roofing Install</t>
  </si>
  <si>
    <t xml:space="preserve">Good/Better: catalog roofing labor, $95 per square. Best: catalog standing-seam install, $200 per square ($290 price).</t>
  </si>
  <si>
    <t xml:space="preserve">Siding Material</t>
  </si>
  <si>
    <t xml:space="preserve">Per square with trim, J-channel, corners and house wrap. Good = Norandex Cedar Knolls ($165 catalog), Better = catalog Siding - Horizontal ($255), Best = vinyl shake or board and batten ($311–$430).</t>
  </si>
  <si>
    <t xml:space="preserve">Good = catalog Polaris double-hung ($475). 258410's casements ran $579 cost each.</t>
  </si>
  <si>
    <t xml:space="preserve">Patio Door</t>
  </si>
  <si>
    <t xml:space="preserve">Good = catalog Sliding Door ($1,750). Better = catalog Patio Door ($2,500).</t>
  </si>
  <si>
    <t xml:space="preserve">Flooring Material</t>
  </si>
  <si>
    <t xml:space="preserve">Good and Better are LVP; Best is engineered hardwood or premium LVP. All installed by the DB crew.</t>
  </si>
  <si>
    <t xml:space="preserve">BALLPARK — Addition &gt; Finish Level (select one) &gt; Good</t>
  </si>
  <si>
    <t xml:space="preserve">Contingency — Good</t>
  </si>
  <si>
    <t xml:space="preserve">Contingency</t>
  </si>
  <si>
    <t xml:space="preserve">{Addition Contingency Rate}/100*(({Addition Permit Fee})*1.45 + (6 + {Addition Living Space}*ceil({Addition Width}*{Addition Depth}*{Addition Stories}/30))*100 + (1)*217.5 + (4 + ceil({Addition Width}*{Addition Depth}*{Addition Stories}/200))*100 + (1 + ceil({Addition Width}*{Addition Depth}*{Addition Stories}/400) + 3*{Addition Living Space})*435 + (4*(1 - {Addition Detached}) + ceil({Addition Structure Removed}/3) + 8*{Addition Wall Openings})*100 + ({Addition Dumpster Loads})*450 + (2 + 2*{Addition Living Space})*100 + (ceil(({Addition Service Zone} - 1)*({Addition Service Zone} + 2)/8*((6 + {Addition Living Space}*ceil({Addition Width}*{Addition Depth}*{Addition Stories}/30)) + (4 + ceil({Addition Width}*{Addition Depth}*{Addition Stories}/200)) + (4*(1 - {Addition Detached}) + ceil({Addition Structure Removed}/3) + 8*{Addition Wall Openings}) + (2 + 2*{Addition Living Space}) + (16*{Addition Site Excavation}) + (3*{Addition Piers}) + (ceil({Addition Width}*{Addition Depth}*{Addition Stories}/6) + 8*{Addition Wall Openings} + 8*{Addition Roof Tie-In}) + (ceil(({Addition Width} + 2*{Addition Depth} + {Addition Detached}*{Addition Width})*{Addition Wall Height}*{Addition Stories}*1.15/100) + {Addition Extra Siding Squares}) + (ceil(2.5*{Addition Windows})) + (8*{Addition Exterior Doors} + 8*{Addition Patio Doors} + 3*{Addition Interior Doors}) + (9*{Addition Plumbing Fixtures}) + ({Addition Electrical}*(8 + ceil({Addition Width}*{Addition Depth}*{Addition Stories}/16))) + ({Addition Drywall}*ceil({Addition Width}*{Addition Depth}*{Addition Stories}/12)) + ({Addition Drywall}*ceil({Addition Width}*{Addition Depth}*{Addition Stories}/15)) + ({Addition Living Space}*ceil({Addition Width}*{Addition Depth}*{Addition Stories}/25)) + ({Addition Living Space}*(4 + ceil(({Addition Width} + 2*{Addition Depth} + {Addition Detached}*{Addition Width})*{Addition Stories}/8) + {Addition Windows} + {Addition Exterior Doors} + {Addition Patio Doors})))/8))*100 + ({Addition Utility Trench})*17.4 + (16*{Addition Site Excavation})*100 + (2*{Addition Site Excavation})*282.75 + ({Addition Crawl Space}*{Addition Width}*{Addition Depth})*26.2015 + ({Addition Slab}*{Addition Width}*{Addition Depth})*30.45 + ({Addition Basement}*{Addition Width}*{Addition Depth})*47.85 + ({Addition Piers})*725 + (3*{Addition Piers})*100 + ({Addition Width}*{Addition Depth}*{Addition Stories})*32.625 + ({Addition Wall Openings})*580 + (ceil({Addition Width}*{Addition Depth}*{Addition Stories}/6) + 8*{Addition Wall Openings} + 8*{Addition Roof Tie-In})*100 + ({Addition Width} + {Addition Depth} + 20)*11.9625 + ({Addition Width} + {Addition Depth} + 20)*5.075 + (({Addition Width} + 2*{Addition Depth} + {Addition Detached}*{Addition Width}))*11.6 + (({Addition Width} + 2*{Addition Depth} + {Addition Detached}*{Addition Width}))*5.85 + (ceil(({Addition Width} + 2*{Addition Depth} + {Addition Detached}*{Addition Width})*{Addition Wall Height}*{Addition Stories}*1.15/100) + {Addition Extra Siding Squares})*100 + (ceil(({Addition Width} + 2*{Addition Depth} + {Addition Detached}*{Addition Width})*{Addition Wall Height}*{Addition Stories}*1.15/100) + {Addition Extra Siding Squares})*232 + (2*(1 - {Addition Detached}))*217.5 + (ceil(2.5*{Addition Windows}))*100 + ({Addition Exterior Doors})*1783.5 + ({Addition Garage Doors})*1690 + ({Addition Garage Doors})*152.25 + (8*{Addition Exterior Doors} + 8*{Addition Patio Doors} + 3*{Addition Interior Doors})*100 + ({Addition Plumbing Fixtures})*362.5 + (9*{Addition Plumbing Fixtures})*100 + ({Addition HVAC Extend})*1703 + ({Addition HVAC New Unit})*9750 + ({Addition Electrical}*{Addition Width}*{Addition Depth}*{Addition Stories})*3.7845 + ({Addition Electrical}*(8 + ceil({Addition Width}*{Addition Depth}*{Addition Stories}/16)))*100 + ({Addition Drywall}*{Addition Width}*{Addition Depth}*{Addition Stories})*11.076 + ({Addition Drywall}*{Addition Width}*{Addition Depth}*{Addition Stories})*1.479 + ({Addition Drywall}*{Addition Width}*{Addition Depth}*{Addition Stories})*1.8995 + ({Addition Drywall}*ceil({Addition Width}*{Addition Depth}*{Addition Stories}/12))*100 + ({Addition Drywall}*ceil({Addition Width}*{Addition Depth}*{Addition Stories}/60))*123.25 + ({Addition Drywall}*ceil({Addition Width}*{Addition Depth}*{Addition Stories}/15))*100 + ({Addition Interior Doors})*580 + ({Addition Living Space}*{Addition Width}*{Addition Depth}*{Addition Stories})*1.0875 + ({Addition Living Space}*ceil({Addition Width}*{Addition Depth}*{Addition Stories}/25))*100 + ({Addition Living Space}*ceil(({Addition Width} + 2*{Addition Depth} + {Addition Detached}*{Addition Width})*{Addition Stories}/12))*65.9605 + ({Addition Living Space}*({Addition Windows} + {Addition Exterior Doors} + {Addition Patio Doors}))*53.8095 + ({Addition Living Space}*(4 + ceil(({Addition Width} + 2*{Addition Depth} + {Addition Detached}*{Addition Width})*{Addition Stories}/8) + {Addition Windows} + {Addition Exterior Doors} + {Addition Patio Doors}))*100 + (ceil({Addition Width}*{Addition Depth}*1.25/100) + 2*{Addition Roof Tie-In})*304.5 + (ceil({Addition Width}*{Addition Depth}*1.25/100) + 2*{Addition Roof Tie-In})*137.75 + (ceil(({Addition Width} + 2*{Addition Depth} + {Addition Detached}*{Addition Width})*{Addition Wall Height}*{Addition Stories}*1.15/100) + {Addition Extra Siding Squares})*333.5 + ({Addition Windows})*688.75 + ({Addition Patio Doors})*2537.5 + ({Addition Living Space}*{Addition Width}*{Addition Depth}*{Addition Stories})*5.075)</t>
  </si>
  <si>
    <t xml:space="preserve">C</t>
  </si>
  <si>
    <t xml:space="preserve">Contingency: the rate times this tier's whole price before contingency. JobTread formulas cannot reference other lines, so the subtotal is spelled out; regenerate this formula (run the build script) after any rate change. Unit price $1.00, cost type Other with markup 0, cost code Contingency.</t>
  </si>
  <si>
    <t xml:space="preserve">BALLPARK — Addition &gt; Finish Level (select one) &gt; Better</t>
  </si>
  <si>
    <t xml:space="preserve">Contingency — Better</t>
  </si>
  <si>
    <t xml:space="preserve">{Addition Contingency Rate}/100*(({Addition Permit Fee})*1.45 + (6 + {Addition Living Space}*ceil({Addition Width}*{Addition Depth}*{Addition Stories}/30))*100 + (1)*217.5 + (4 + ceil({Addition Width}*{Addition Depth}*{Addition Stories}/200))*100 + (1 + ceil({Addition Width}*{Addition Depth}*{Addition Stories}/400) + 3*{Addition Living Space})*435 + (4*(1 - {Addition Detached}) + ceil({Addition Structure Removed}/3) + 8*{Addition Wall Openings})*100 + ({Addition Dumpster Loads})*450 + (2 + 2*{Addition Living Space})*100 + (ceil(({Addition Service Zone} - 1)*({Addition Service Zone} + 2)/8*((6 + {Addition Living Space}*ceil({Addition Width}*{Addition Depth}*{Addition Stories}/30)) + (4 + ceil({Addition Width}*{Addition Depth}*{Addition Stories}/200)) + (4*(1 - {Addition Detached}) + ceil({Addition Structure Removed}/3) + 8*{Addition Wall Openings}) + (2 + 2*{Addition Living Space}) + (16*{Addition Site Excavation}) + (3*{Addition Piers}) + (ceil({Addition Width}*{Addition Depth}*{Addition Stories}/6) + 8*{Addition Wall Openings} + 8*{Addition Roof Tie-In}) + (ceil(({Addition Width} + 2*{Addition Depth} + {Addition Detached}*{Addition Width})*{Addition Wall Height}*{Addition Stories}*1.15/100) + {Addition Extra Siding Squares}) + (ceil(2.5*{Addition Windows})) + (8*{Addition Exterior Doors} + 8*{Addition Patio Doors} + 3*{Addition Interior Doors}) + (9*{Addition Plumbing Fixtures}) + ({Addition Electrical}*(8 + ceil({Addition Width}*{Addition Depth}*{Addition Stories}/16))) + ({Addition Drywall}*ceil({Addition Width}*{Addition Depth}*{Addition Stories}/12)) + ({Addition Drywall}*ceil({Addition Width}*{Addition Depth}*{Addition Stories}/15)) + ({Addition Living Space}*ceil({Addition Width}*{Addition Depth}*{Addition Stories}/25)) + ({Addition Living Space}*(4 + ceil(({Addition Width} + 2*{Addition Depth} + {Addition Detached}*{Addition Width})*{Addition Stories}/8) + {Addition Windows} + {Addition Exterior Doors} + {Addition Patio Doors})))/8))*100 + ({Addition Utility Trench})*17.4 + (16*{Addition Site Excavation})*100 + (2*{Addition Site Excavation})*282.75 + ({Addition Crawl Space}*{Addition Width}*{Addition Depth})*26.2015 + ({Addition Slab}*{Addition Width}*{Addition Depth})*30.45 + ({Addition Basement}*{Addition Width}*{Addition Depth})*47.85 + ({Addition Piers})*725 + (3*{Addition Piers})*100 + ({Addition Width}*{Addition Depth}*{Addition Stories})*32.625 + ({Addition Wall Openings})*580 + (ceil({Addition Width}*{Addition Depth}*{Addition Stories}/6) + 8*{Addition Wall Openings} + 8*{Addition Roof Tie-In})*100 + ({Addition Width} + {Addition Depth} + 20)*11.9625 + ({Addition Width} + {Addition Depth} + 20)*5.075 + (({Addition Width} + 2*{Addition Depth} + {Addition Detached}*{Addition Width}))*11.6 + (({Addition Width} + 2*{Addition Depth} + {Addition Detached}*{Addition Width}))*5.85 + (ceil(({Addition Width} + 2*{Addition Depth} + {Addition Detached}*{Addition Width})*{Addition Wall Height}*{Addition Stories}*1.15/100) + {Addition Extra Siding Squares})*100 + (ceil(({Addition Width} + 2*{Addition Depth} + {Addition Detached}*{Addition Width})*{Addition Wall Height}*{Addition Stories}*1.15/100) + {Addition Extra Siding Squares})*232 + (2*(1 - {Addition Detached}))*217.5 + (ceil(2.5*{Addition Windows}))*100 + ({Addition Exterior Doors})*1783.5 + ({Addition Garage Doors})*1690 + ({Addition Garage Doors})*152.25 + (8*{Addition Exterior Doors} + 8*{Addition Patio Doors} + 3*{Addition Interior Doors})*100 + ({Addition Plumbing Fixtures})*362.5 + (9*{Addition Plumbing Fixtures})*100 + ({Addition HVAC Extend})*1703 + ({Addition HVAC New Unit})*9750 + ({Addition Electrical}*{Addition Width}*{Addition Depth}*{Addition Stories})*3.7845 + ({Addition Electrical}*(8 + ceil({Addition Width}*{Addition Depth}*{Addition Stories}/16)))*100 + ({Addition Drywall}*{Addition Width}*{Addition Depth}*{Addition Stories})*11.076 + ({Addition Drywall}*{Addition Width}*{Addition Depth}*{Addition Stories})*1.479 + ({Addition Drywall}*{Addition Width}*{Addition Depth}*{Addition Stories})*1.8995 + ({Addition Drywall}*ceil({Addition Width}*{Addition Depth}*{Addition Stories}/12))*100 + ({Addition Drywall}*ceil({Addition Width}*{Addition Depth}*{Addition Stories}/60))*123.25 + ({Addition Drywall}*ceil({Addition Width}*{Addition Depth}*{Addition Stories}/15))*100 + ({Addition Interior Doors})*580 + ({Addition Living Space}*{Addition Width}*{Addition Depth}*{Addition Stories})*1.0875 + ({Addition Living Space}*ceil({Addition Width}*{Addition Depth}*{Addition Stories}/25))*100 + ({Addition Living Space}*ceil(({Addition Width} + 2*{Addition Depth} + {Addition Detached}*{Addition Width})*{Addition Stories}/12))*65.9605 + ({Addition Living Space}*({Addition Windows} + {Addition Exterior Doors} + {Addition Patio Doors}))*53.8095 + ({Addition Living Space}*(4 + ceil(({Addition Width} + 2*{Addition Depth} + {Addition Detached}*{Addition Width})*{Addition Stories}/8) + {Addition Windows} + {Addition Exterior Doors} + {Addition Patio Doors}))*100 + (ceil({Addition Width}*{Addition Depth}*1.25/100) + 2*{Addition Roof Tie-In})*355.25 + (ceil({Addition Width}*{Addition Depth}*1.25/100) + 2*{Addition Roof Tie-In})*137.75 + (ceil(({Addition Width} + 2*{Addition Depth} + {Addition Detached}*{Addition Width})*{Addition Wall Height}*{Addition Stories}*1.15/100) + {Addition Extra Siding Squares})*464 + ({Addition Windows})*1015 + ({Addition Patio Doors})*3625 + ({Addition Living Space}*{Addition Width}*{Addition Depth}*{Addition Stories})*7.25)</t>
  </si>
  <si>
    <t xml:space="preserve">BALLPARK — Addition &gt; Finish Level (select one) &gt; Best</t>
  </si>
  <si>
    <t xml:space="preserve">Contingency — Best</t>
  </si>
  <si>
    <t xml:space="preserve">{Addition Contingency Rate}/100*(({Addition Permit Fee})*1.45 + (6 + {Addition Living Space}*ceil({Addition Width}*{Addition Depth}*{Addition Stories}/30))*100 + (1)*217.5 + (4 + ceil({Addition Width}*{Addition Depth}*{Addition Stories}/200))*100 + (1 + ceil({Addition Width}*{Addition Depth}*{Addition Stories}/400) + 3*{Addition Living Space})*435 + (4*(1 - {Addition Detached}) + ceil({Addition Structure Removed}/3) + 8*{Addition Wall Openings})*100 + ({Addition Dumpster Loads})*450 + (2 + 2*{Addition Living Space})*100 + (ceil(({Addition Service Zone} - 1)*({Addition Service Zone} + 2)/8*((6 + {Addition Living Space}*ceil({Addition Width}*{Addition Depth}*{Addition Stories}/30)) + (4 + ceil({Addition Width}*{Addition Depth}*{Addition Stories}/200)) + (4*(1 - {Addition Detached}) + ceil({Addition Structure Removed}/3) + 8*{Addition Wall Openings}) + (2 + 2*{Addition Living Space}) + (16*{Addition Site Excavation}) + (3*{Addition Piers}) + (ceil({Addition Width}*{Addition Depth}*{Addition Stories}/6) + 8*{Addition Wall Openings} + 8*{Addition Roof Tie-In}) + (ceil(({Addition Width} + 2*{Addition Depth} + {Addition Detached}*{Addition Width})*{Addition Wall Height}*{Addition Stories}*1.15/100) + {Addition Extra Siding Squares}) + (ceil(2.5*{Addition Windows})) + (8*{Addition Exterior Doors} + 8*{Addition Patio Doors} + 3*{Addition Interior Doors}) + (9*{Addition Plumbing Fixtures}) + ({Addition Electrical}*(8 + ceil({Addition Width}*{Addition Depth}*{Addition Stories}/16))) + ({Addition Drywall}*ceil({Addition Width}*{Addition Depth}*{Addition Stories}/12)) + ({Addition Drywall}*ceil({Addition Width}*{Addition Depth}*{Addition Stories}/15)) + ({Addition Living Space}*ceil({Addition Width}*{Addition Depth}*{Addition Stories}/25)) + ({Addition Living Space}*(4 + ceil(({Addition Width} + 2*{Addition Depth} + {Addition Detached}*{Addition Width})*{Addition Stories}/8) + {Addition Windows} + {Addition Exterior Doors} + {Addition Patio Doors})))/8))*100 + ({Addition Utility Trench})*17.4 + (16*{Addition Site Excavation})*100 + (2*{Addition Site Excavation})*282.75 + ({Addition Crawl Space}*{Addition Width}*{Addition Depth})*26.2015 + ({Addition Slab}*{Addition Width}*{Addition Depth})*30.45 + ({Addition Basement}*{Addition Width}*{Addition Depth})*47.85 + ({Addition Piers})*725 + (3*{Addition Piers})*100 + ({Addition Width}*{Addition Depth}*{Addition Stories})*32.625 + ({Addition Wall Openings})*580 + (ceil({Addition Width}*{Addition Depth}*{Addition Stories}/6) + 8*{Addition Wall Openings} + 8*{Addition Roof Tie-In})*100 + ({Addition Width} + {Addition Depth} + 20)*11.9625 + ({Addition Width} + {Addition Depth} + 20)*5.075 + (({Addition Width} + 2*{Addition Depth} + {Addition Detached}*{Addition Width}))*11.6 + (({Addition Width} + 2*{Addition Depth} + {Addition Detached}*{Addition Width}))*5.85 + (ceil(({Addition Width} + 2*{Addition Depth} + {Addition Detached}*{Addition Width})*{Addition Wall Height}*{Addition Stories}*1.15/100) + {Addition Extra Siding Squares})*100 + (ceil(({Addition Width} + 2*{Addition Depth} + {Addition Detached}*{Addition Width})*{Addition Wall Height}*{Addition Stories}*1.15/100) + {Addition Extra Siding Squares})*232 + (2*(1 - {Addition Detached}))*217.5 + (ceil(2.5*{Addition Windows}))*100 + ({Addition Exterior Doors})*1783.5 + ({Addition Garage Doors})*1690 + ({Addition Garage Doors})*152.25 + (8*{Addition Exterior Doors} + 8*{Addition Patio Doors} + 3*{Addition Interior Doors})*100 + ({Addition Plumbing Fixtures})*362.5 + (9*{Addition Plumbing Fixtures})*100 + ({Addition HVAC Extend})*1703 + ({Addition HVAC New Unit})*9750 + ({Addition Electrical}*{Addition Width}*{Addition Depth}*{Addition Stories})*3.7845 + ({Addition Electrical}*(8 + ceil({Addition Width}*{Addition Depth}*{Addition Stories}/16)))*100 + ({Addition Drywall}*{Addition Width}*{Addition Depth}*{Addition Stories})*11.076 + ({Addition Drywall}*{Addition Width}*{Addition Depth}*{Addition Stories})*1.479 + ({Addition Drywall}*{Addition Width}*{Addition Depth}*{Addition Stories})*1.8995 + ({Addition Drywall}*ceil({Addition Width}*{Addition Depth}*{Addition Stories}/12))*100 + ({Addition Drywall}*ceil({Addition Width}*{Addition Depth}*{Addition Stories}/60))*123.25 + ({Addition Drywall}*ceil({Addition Width}*{Addition Depth}*{Addition Stories}/15))*100 + ({Addition Interior Doors})*580 + ({Addition Living Space}*{Addition Width}*{Addition Depth}*{Addition Stories})*1.0875 + ({Addition Living Space}*ceil({Addition Width}*{Addition Depth}*{Addition Stories}/25))*100 + ({Addition Living Space}*ceil(({Addition Width} + 2*{Addition Depth} + {Addition Detached}*{Addition Width})*{Addition Stories}/12))*65.9605 + ({Addition Living Space}*({Addition Windows} + {Addition Exterior Doors} + {Addition Patio Doors}))*53.8095 + ({Addition Living Space}*(4 + ceil(({Addition Width} + 2*{Addition Depth} + {Addition Detached}*{Addition Width})*{Addition Stories}/8) + {Addition Windows} + {Addition Exterior Doors} + {Addition Patio Doors}))*100 + (ceil({Addition Width}*{Addition Depth}*1.25/100) + 2*{Addition Roof Tie-In})*453.85 + (ceil({Addition Width}*{Addition Depth}*1.25/100) + 2*{Addition Roof Tie-In})*290 + (ceil(({Addition Width} + 2*{Addition Depth} + {Addition Detached}*{Addition Width})*{Addition Wall Height}*{Addition Stories}*1.15/100) + {Addition Extra Siding Squares})*717.75 + ({Addition Windows})*1595 + ({Addition Patio Doors})*4350 + ({Addition Living Space}*{Addition Width}*{Addition Depth}*{Addition Stories})*13.05)</t>
  </si>
  <si>
    <t xml:space="preserve">TOTAL</t>
  </si>
  <si>
    <t xml:space="preserve">JobTread job parameters used by the formulas</t>
  </si>
  <si>
    <t xml:space="preserve">Verified 27 Sep 2026: formula variables are job parameters (job.parameters), the same mechanism DB's roofing formulas use. Names must match exactly. Every name starts with 'Addition ' so a job carrying more than one ballpark template never shares a parameter between rooms.</t>
  </si>
  <si>
    <t xml:space="preserve">JobTread parameter</t>
  </si>
  <si>
    <t xml:space="preserve">Type</t>
  </si>
  <si>
    <t xml:space="preserve">Default</t>
  </si>
  <si>
    <t xml:space="preserve">How to measure / count</t>
  </si>
  <si>
    <t xml:space="preserve">Used by (line items)</t>
  </si>
  <si>
    <t xml:space="preserve">Number</t>
  </si>
  <si>
    <t xml:space="preserve">Concrete Foundation - 6" Stem, Concrete Foundation - Basement, Concrete Foundation - Crawl, Drywall Board - Mat, Drywall Labor, Drywall Mud - Mat, Electrical Labor, Electrical Materials, Fascia and Soffit Install, Flooring - Misc. Material, Flooring Labor, Flooring Material, Framing/Sheathing Labor, Framing/Sheathing Materials, Gutter Labor, Gutters &amp; Downspouts, House Wrap Labor, Insulation - Sub, Paint, Paint Labor, Project Management (C), Rentals &amp; Delivery, Roofing Install, Roofing Material, Siding Labor, Siding Material, Site Prep Labor, Soffit &amp; Fascia Material, Travel, Trim - Baseboard, Trim Labor</t>
  </si>
  <si>
    <t xml:space="preserve">Drywall Board - Mat, Drywall Labor, Drywall Mud - Mat, Electrical Labor, Electrical Materials, Flooring - Misc. Material, Flooring Labor, Flooring Material, Framing/Sheathing Labor, Framing/Sheathing Materials, House Wrap Labor, Insulation - Sub, Paint, Paint Labor, Project Management (C), Rentals &amp; Delivery, Siding Labor, Siding Material, Site Prep Labor, Travel, Trim - Baseboard, Trim Labor</t>
  </si>
  <si>
    <t xml:space="preserve">House Wrap Labor, Siding Labor, Siding Material, Travel</t>
  </si>
  <si>
    <t xml:space="preserve">Demolition, Fascia and Soffit Install, House Wrap Labor, Siding Labor, Siding Labor for Flashing, Siding Material, Soffit &amp; Fascia Material, Travel, Trim - Baseboard, Trim Labor</t>
  </si>
  <si>
    <t xml:space="preserve">Concrete Piers, Pier Labor, Travel</t>
  </si>
  <si>
    <t xml:space="preserve">Excavation &amp; Grading, Rental - Mini Excavator, Travel</t>
  </si>
  <si>
    <t xml:space="preserve">Framing/Sheathing Labor, Roofing Install, Roofing Material, Travel</t>
  </si>
  <si>
    <t xml:space="preserve">Electrical Labor, Electrical Materials, Travel</t>
  </si>
  <si>
    <t xml:space="preserve">Drywall Board - Mat, Drywall Labor, Drywall Mud - Mat, Insulation - Sub, Paint, Paint Labor, Travel</t>
  </si>
  <si>
    <t xml:space="preserve">Final Clean, Flooring - Misc. Material, Flooring Labor, Flooring Material, Project Management (C), Rentals &amp; Delivery, Travel, Trim - Baseboard, Trim - Casing, Trim Labor</t>
  </si>
  <si>
    <t xml:space="preserve">Travel, Trim - Casing, Trim Labor, Window Labor, Windows</t>
  </si>
  <si>
    <t xml:space="preserve">Door Labor, Exterior Door &amp; Lockset, Travel, Trim - Casing, Trim Labor</t>
  </si>
  <si>
    <t xml:space="preserve">Door Labor, Patio Door, Travel, Trim - Casing, Trim Labor</t>
  </si>
  <si>
    <t xml:space="preserve">Garage Door, Garage Door Wrapping</t>
  </si>
  <si>
    <t xml:space="preserve">Door Labor, Interior Door, Travel</t>
  </si>
  <si>
    <t xml:space="preserve">Demolition, Framing/Sheathing Labor, Header &amp; Opening Material, Travel</t>
  </si>
  <si>
    <t xml:space="preserve">Plumbing Labor, Plumbing Materials, Travel</t>
  </si>
  <si>
    <t xml:space="preserve">Demolition, Travel</t>
  </si>
  <si>
    <t xml:space="preserve">Markup by cost type</t>
  </si>
  <si>
    <t xml:space="preserve">Cost type code</t>
  </si>
  <si>
    <t xml:space="preserve">Cost type</t>
  </si>
  <si>
    <t xml:space="preserve">Price ÷ cost</t>
  </si>
  <si>
    <t xml:space="preserve">Labor</t>
  </si>
  <si>
    <t xml:space="preserve">DB catalog labor: $55 cost / $100 price per hour (a 45% margin).</t>
  </si>
  <si>
    <t xml:space="preserve">Materials</t>
  </si>
  <si>
    <t xml:space="preserve">DB catalog materials: ×1.45 with zero variance across the catalog (field notes §9).</t>
  </si>
  <si>
    <t xml:space="preserve">Subcontractor</t>
  </si>
  <si>
    <t xml:space="preserve">Countertop, tile and flooring subs in DB's estimates were marked up ×1.30.</t>
  </si>
  <si>
    <t xml:space="preserve">Other</t>
  </si>
  <si>
    <t xml:space="preserve">Permits and misc. fees: ×1.45.</t>
  </si>
  <si>
    <t xml:space="preserve">Labor, per unit</t>
  </si>
  <si>
    <t xml:space="preserve">Labor the catalog prices per square or foot (siding, roofing, gutters). JobTread cost type Labor, marked up ×1.45 like the catalog.</t>
  </si>
  <si>
    <t xml:space="preserve">Its own line, carried at cost so it can be reported and credited. JobTread cost type Other with the markup set to 0, cost code Contingency.</t>
  </si>
  <si>
    <t xml:space="preserve">Labor cost per hour</t>
  </si>
  <si>
    <t xml:space="preserve">Used as the unit cost of every labor line on the Template tab.</t>
  </si>
  <si>
    <t xml:space="preserve">Labor price per hour</t>
  </si>
  <si>
    <t xml:space="preserve">Budget range accuracy (±)</t>
  </si>
  <si>
    <t xml:space="preserve">Additions are quoted at ±20% and always go on to the Design &amp; Pricing Agreement.</t>
  </si>
  <si>
    <t xml:space="preserve">Permit fees by jurisdiction</t>
  </si>
  <si>
    <t xml:space="preserve">DB's vendor bills for permits, last 6 months. Enter the job's fee as the Permit Fee parameter.</t>
  </si>
  <si>
    <t xml:space="preserve">Jurisdiction</t>
  </si>
  <si>
    <t xml:space="preserve">Fee DB pays</t>
  </si>
  <si>
    <t xml:space="preserve">Village of Convoy</t>
  </si>
  <si>
    <t xml:space="preserve">$10</t>
  </si>
  <si>
    <t xml:space="preserve">City of Van Wert</t>
  </si>
  <si>
    <t xml:space="preserve">$20 for the first $10K of project cost, plus $2 per additional $1K (paid $20–$122, average $36)</t>
  </si>
  <si>
    <t xml:space="preserve">City of Lima</t>
  </si>
  <si>
    <t xml:space="preserve">$63</t>
  </si>
  <si>
    <t xml:space="preserve">Lucas County</t>
  </si>
  <si>
    <t xml:space="preserve">$75.75</t>
  </si>
  <si>
    <t xml:space="preserve">Union Township</t>
  </si>
  <si>
    <t xml:space="preserve">$100</t>
  </si>
  <si>
    <t xml:space="preserve">Pleasant Township Trustees</t>
  </si>
  <si>
    <t xml:space="preserve">$300</t>
  </si>
  <si>
    <t xml:space="preserve">Deitemeyer Brothers internal</t>
  </si>
  <si>
    <t xml:space="preserve">$32–$40, average $36</t>
  </si>
  <si>
    <t xml:space="preserve">Travel by service zone</t>
  </si>
  <si>
    <t xml:space="preserve">Service Zone</t>
  </si>
  <si>
    <t xml:space="preserve">Enter</t>
  </si>
  <si>
    <t xml:space="preserve">Hours per person-day</t>
  </si>
  <si>
    <t xml:space="preserve">Zone 1 (within ~15 mi)</t>
  </si>
  <si>
    <t xml:space="preserve">Zone 2 (~15–30 mi)</t>
  </si>
  <si>
    <t xml:space="preserve">Zone 3 (~30–50 mi)</t>
  </si>
  <si>
    <t xml:space="preserve">Extended (over 50 mi): quote by hand</t>
  </si>
  <si>
    <t xml:space="preserve">Checks against DB's addition estimates since the move to JobTread</t>
  </si>
  <si>
    <t xml:space="preserve">Like for like: actual = estimate total less work another template or an add-on prices (listed below); model = template total less lines the estimate carried at $0. Intake was rebuilt from each estimate's own lines, so this is not an out-of-sample test.</t>
  </si>
  <si>
    <t xml:space="preserve">258684 is shown but not counted: a tear-down and rebuild with deck work, stone and a PVC roof deck.</t>
  </si>
  <si>
    <t xml:space="preserve">Totals</t>
  </si>
  <si>
    <t xml:space="preserve">Job</t>
  </si>
  <si>
    <t xml:space="preserve">Status</t>
  </si>
  <si>
    <t xml:space="preserve">What it is</t>
  </si>
  <si>
    <t xml:space="preserve">Floor SF</t>
  </si>
  <si>
    <t xml:space="preserve">Actual (same scope)</t>
  </si>
  <si>
    <t xml:space="preserve">Model at its tier</t>
  </si>
  <si>
    <t xml:space="preserve">Error</t>
  </si>
  <si>
    <t xml:space="preserve">Actual $/SF</t>
  </si>
  <si>
    <t xml:space="preserve">Model Good</t>
  </si>
  <si>
    <t xml:space="preserve">Model Better</t>
  </si>
  <si>
    <t xml:space="preserve">Model Best</t>
  </si>
  <si>
    <t xml:space="preserve">|Error|</t>
  </si>
  <si>
    <t xml:space="preserve">258410</t>
  </si>
  <si>
    <t xml:space="preserve">approved</t>
  </si>
  <si>
    <t xml:space="preserve">Finished 420 SF room on a crawl, with a bathroom; re-sided the house to match</t>
  </si>
  <si>
    <t xml:space="preserve">25-8197</t>
  </si>
  <si>
    <t xml:space="preserve">795 SF shell on a crawl, framed and dried in; customer finishes the inside</t>
  </si>
  <si>
    <t xml:space="preserve">261040</t>
  </si>
  <si>
    <t xml:space="preserve">286 SF porch-type room on piers; wired, not insulated</t>
  </si>
  <si>
    <t xml:space="preserve">261094</t>
  </si>
  <si>
    <t xml:space="preserve">pending</t>
  </si>
  <si>
    <t xml:space="preserve">Detached 24x24 garage on a footed slab, drywalled, heated</t>
  </si>
  <si>
    <t xml:space="preserve">260109</t>
  </si>
  <si>
    <t xml:space="preserve">Detached 14x24 garage on a footed slab, drywalled</t>
  </si>
  <si>
    <t xml:space="preserve">246466</t>
  </si>
  <si>
    <t xml:space="preserve">About 360 SF sunroom on a crawl, with a stone-coated steel roof</t>
  </si>
  <si>
    <t xml:space="preserve">258551</t>
  </si>
  <si>
    <t xml:space="preserve">denied</t>
  </si>
  <si>
    <t xml:space="preserve">273 SF kitchen addition on a crawl</t>
  </si>
  <si>
    <t xml:space="preserve">258684</t>
  </si>
  <si>
    <t xml:space="preserve">Tear-down and rebuild of a 333 SF sunroom, with a PVC roof deck and deck work</t>
  </si>
  <si>
    <t xml:space="preserve">Median absolute error (counted estimates)</t>
  </si>
  <si>
    <t xml:space="preserve">Median error (bias)</t>
  </si>
  <si>
    <t xml:space="preserve">Counted estimates within ±15%</t>
  </si>
  <si>
    <t xml:space="preserve">Block by block (model against actual, same scope)</t>
  </si>
  <si>
    <t xml:space="preserve">Large offsets cancel in the totals. '-' = under $500 in the estimate, or left unpriced by it.</t>
  </si>
  <si>
    <t xml:space="preserve">Block</t>
  </si>
  <si>
    <t xml:space="preserve">Foundation &amp; site</t>
  </si>
  <si>
    <t xml:space="preserve">-12%</t>
  </si>
  <si>
    <t xml:space="preserve">-27%</t>
  </si>
  <si>
    <t xml:space="preserve">-8%</t>
  </si>
  <si>
    <t xml:space="preserve">-6%</t>
  </si>
  <si>
    <t xml:space="preserve">-33%</t>
  </si>
  <si>
    <t xml:space="preserve">+3%</t>
  </si>
  <si>
    <t xml:space="preserve">+98%</t>
  </si>
  <si>
    <t xml:space="preserve">-68%</t>
  </si>
  <si>
    <t xml:space="preserve">Framing</t>
  </si>
  <si>
    <t xml:space="preserve">+27%</t>
  </si>
  <si>
    <t xml:space="preserve">-2%</t>
  </si>
  <si>
    <t xml:space="preserve">+69%</t>
  </si>
  <si>
    <t xml:space="preserve">-7%</t>
  </si>
  <si>
    <t xml:space="preserve">-14%</t>
  </si>
  <si>
    <t xml:space="preserve">-9%</t>
  </si>
  <si>
    <t xml:space="preserve">+39%</t>
  </si>
  <si>
    <t xml:space="preserve">-36%</t>
  </si>
  <si>
    <t xml:space="preserve">Roofing &amp; gutters</t>
  </si>
  <si>
    <t xml:space="preserve">-44%</t>
  </si>
  <si>
    <t xml:space="preserve">-</t>
  </si>
  <si>
    <t xml:space="preserve">+80%</t>
  </si>
  <si>
    <t xml:space="preserve">+19%</t>
  </si>
  <si>
    <t xml:space="preserve">-88%</t>
  </si>
  <si>
    <t xml:space="preserve">Siding, soffit &amp; fascia</t>
  </si>
  <si>
    <t xml:space="preserve">-28%</t>
  </si>
  <si>
    <t xml:space="preserve">+59%</t>
  </si>
  <si>
    <t xml:space="preserve">+20%</t>
  </si>
  <si>
    <t xml:space="preserve">+155%</t>
  </si>
  <si>
    <t xml:space="preserve">+48%</t>
  </si>
  <si>
    <t xml:space="preserve">-30%</t>
  </si>
  <si>
    <t xml:space="preserve">Windows &amp; doors</t>
  </si>
  <si>
    <t xml:space="preserve">+5%</t>
  </si>
  <si>
    <t xml:space="preserve">-42%</t>
  </si>
  <si>
    <t xml:space="preserve">+195%</t>
  </si>
  <si>
    <t xml:space="preserve">+56%</t>
  </si>
  <si>
    <t xml:space="preserve">+117%</t>
  </si>
  <si>
    <t xml:space="preserve">Insulation, drywall, paint, floor, trim</t>
  </si>
  <si>
    <t xml:space="preserve">+6%</t>
  </si>
  <si>
    <t xml:space="preserve">+87%</t>
  </si>
  <si>
    <t xml:space="preserve">+65%</t>
  </si>
  <si>
    <t xml:space="preserve">+31%</t>
  </si>
  <si>
    <t xml:space="preserve">-10%</t>
  </si>
  <si>
    <t xml:space="preserve">Electrical, plumbing &amp; HVAC</t>
  </si>
  <si>
    <t xml:space="preserve">-19%</t>
  </si>
  <si>
    <t xml:space="preserve">+21%</t>
  </si>
  <si>
    <t xml:space="preserve">-13%</t>
  </si>
  <si>
    <t xml:space="preserve">-3%</t>
  </si>
  <si>
    <t xml:space="preserve">Demolition &amp; general</t>
  </si>
  <si>
    <t xml:space="preserve">+66%</t>
  </si>
  <si>
    <t xml:space="preserve">+1%</t>
  </si>
  <si>
    <t xml:space="preserve">-1%</t>
  </si>
  <si>
    <t xml:space="preserve">-15%</t>
  </si>
  <si>
    <t xml:space="preserve">+0%</t>
  </si>
  <si>
    <t xml:space="preserve">-31%</t>
  </si>
  <si>
    <t xml:space="preserve">Left out of the actual (priced by another template or an add-on)</t>
  </si>
  <si>
    <t xml:space="preserve">Cabinetry $5,703; Closet Organization $378; Shower/Tub $2,552; Specialites $8,173; Bathroom fixtures and trim (toilet, faucets, shower trim) $2,907</t>
  </si>
  <si>
    <t xml:space="preserve">Design $7,000</t>
  </si>
  <si>
    <t xml:space="preserve">Design $3,079; Composite deck, 196 SF $8,501</t>
  </si>
  <si>
    <t xml:space="preserve">Cabinetry $53,777; Design $5,000</t>
  </si>
  <si>
    <t xml:space="preserve">Deck $11,340</t>
  </si>
  <si>
    <t xml:space="preserve">Left out of the model (the estimate carried these at $0)</t>
  </si>
  <si>
    <t xml:space="preserve">Insulation - Sub, Siding Material, Siding Labor, House Wrap Labor, Siding Labor for Flashing, Roofing Material, Roofing Install, Gutters &amp; Downspouts, Gutter Labor, Soffit &amp; Fascia Material, Fascia and Soffit Install, Garage Door, Garage Door Wrapping, Exterior Door &amp; Lockset, Door Labor</t>
  </si>
  <si>
    <t xml:space="preserve">Rebuilt inputs to note: 246466 and 258551 carry the SF torn down that matches their demolition hours; 258410 carries 21 extra siding squares from its house-wrap line (28 squares against 7 for the addition).</t>
  </si>
  <si>
    <t xml:space="preserve">260109's framing package bundled its roof, siding and window materials, so its blocks shift while its total holds.</t>
  </si>
  <si>
    <t xml:space="preserve">Not used: 260820 (porch repair), 261340 (garage conversion), 261265 (pole building), 261377 (siding only), 261089 and 260056 (remodels). Kay Oss jobs are test jobs.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</si>
</sst>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##;\-#,##0.##;\-"/>
    <numFmt numFmtId="166" formatCode="\$#,##0;&quot;($&quot;#,##0\);\-"/>
    <numFmt numFmtId="167" formatCode="\$#,##0.00;&quot;($&quot;#,##0.00\);\-"/>
    <numFmt numFmtId="168" formatCode="0.000"/>
    <numFmt numFmtId="169" formatCode="0%"/>
    <numFmt numFmtId="170" formatCode="\+0%;\-0%;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Courier New"/>
      <family val="0"/>
      <charset val="1"/>
    </font>
    <font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23.85" hidden="false" customHeight="false" outlineLevel="0" collapsed="false">
      <c r="A21" s="3" t="s">
        <v>16</v>
      </c>
    </row>
    <row r="22" customFormat="false" ht="23.85" hidden="false" customHeight="false" outlineLevel="0" collapsed="false">
      <c r="A22" s="3" t="s">
        <v>17</v>
      </c>
    </row>
    <row r="23" customFormat="false" ht="23.8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19</v>
      </c>
    </row>
    <row r="26" customFormat="false" ht="23.8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32"/>
    <col collapsed="false" customWidth="true" hidden="false" outlineLevel="0" max="6" min="6" style="0" width="30"/>
    <col collapsed="false" customWidth="true" hidden="false" outlineLevel="0" max="9" min="7" style="0" width="14"/>
  </cols>
  <sheetData>
    <row r="1" customFormat="false" ht="17.35" hidden="false" customHeight="false" outlineLevel="0" collapsed="false">
      <c r="A1" s="5" t="s">
        <v>26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false" outlineLevel="0" collapsed="false">
      <c r="A2" s="7" t="s">
        <v>27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  <c r="E4" s="6"/>
      <c r="F4" s="9" t="s">
        <v>32</v>
      </c>
      <c r="G4" s="10" t="s">
        <v>33</v>
      </c>
      <c r="H4" s="10" t="s">
        <v>34</v>
      </c>
      <c r="I4" s="10" t="s">
        <v>35</v>
      </c>
    </row>
    <row r="5" customFormat="false" ht="15" hidden="false" customHeight="false" outlineLevel="0" collapsed="false">
      <c r="A5" s="11" t="s">
        <v>36</v>
      </c>
      <c r="B5" s="12" t="n">
        <v>20</v>
      </c>
      <c r="C5" s="7" t="s">
        <v>37</v>
      </c>
      <c r="D5" s="13" t="s">
        <v>38</v>
      </c>
      <c r="E5" s="6"/>
      <c r="F5" s="11" t="s">
        <v>39</v>
      </c>
      <c r="G5" s="14" t="n">
        <f aca="false">SUMIFS(Template!K5:K54,Template!B5:B54,"*Phase 1 -*")</f>
        <v>7032.5</v>
      </c>
      <c r="H5" s="14" t="n">
        <f aca="false">SUMIFS(Template!O5:O54,Template!B5:B54,"*Phase 1 -*")</f>
        <v>7032.5</v>
      </c>
      <c r="I5" s="14" t="n">
        <f aca="false">SUMIFS(Template!S5:S54,Template!B5:B54,"*Phase 1 -*")</f>
        <v>7032.5</v>
      </c>
    </row>
    <row r="6" customFormat="false" ht="15" hidden="false" customHeight="false" outlineLevel="0" collapsed="false">
      <c r="A6" s="11" t="s">
        <v>40</v>
      </c>
      <c r="B6" s="12" t="n">
        <v>16</v>
      </c>
      <c r="C6" s="7" t="s">
        <v>41</v>
      </c>
      <c r="D6" s="13" t="s">
        <v>42</v>
      </c>
      <c r="E6" s="6"/>
      <c r="F6" s="11" t="s">
        <v>43</v>
      </c>
      <c r="G6" s="14" t="n">
        <f aca="false">SUMIFS(Template!K5:K54,Template!B5:B54,"*Phase 2 -*")</f>
        <v>26404.48</v>
      </c>
      <c r="H6" s="14" t="n">
        <f aca="false">SUMIFS(Template!O5:O54,Template!B5:B54,"*Phase 2 -*")</f>
        <v>26404.48</v>
      </c>
      <c r="I6" s="14" t="n">
        <f aca="false">SUMIFS(Template!S5:S54,Template!B5:B54,"*Phase 2 -*")</f>
        <v>26404.48</v>
      </c>
    </row>
    <row r="7" customFormat="false" ht="15" hidden="false" customHeight="false" outlineLevel="0" collapsed="false">
      <c r="A7" s="11" t="s">
        <v>44</v>
      </c>
      <c r="B7" s="12" t="n">
        <v>1</v>
      </c>
      <c r="C7" s="7" t="s">
        <v>45</v>
      </c>
      <c r="D7" s="13" t="s">
        <v>46</v>
      </c>
      <c r="E7" s="6"/>
      <c r="F7" s="11" t="s">
        <v>47</v>
      </c>
      <c r="G7" s="14" t="n">
        <f aca="false">SUMIFS(Template!K5:K54,Template!B5:B54,"*Phase 3 -*")</f>
        <v>11470.54</v>
      </c>
      <c r="H7" s="14" t="n">
        <f aca="false">SUMIFS(Template!O5:O54,Template!B5:B54,"*Phase 3 -*")</f>
        <v>11470.54</v>
      </c>
      <c r="I7" s="14" t="n">
        <f aca="false">SUMIFS(Template!S5:S54,Template!B5:B54,"*Phase 3 -*")</f>
        <v>11470.54</v>
      </c>
    </row>
    <row r="8" customFormat="false" ht="15" hidden="false" customHeight="false" outlineLevel="0" collapsed="false">
      <c r="A8" s="11" t="s">
        <v>48</v>
      </c>
      <c r="B8" s="12" t="n">
        <v>8</v>
      </c>
      <c r="C8" s="7" t="s">
        <v>49</v>
      </c>
      <c r="D8" s="13" t="s">
        <v>50</v>
      </c>
      <c r="E8" s="6"/>
      <c r="F8" s="11" t="s">
        <v>51</v>
      </c>
      <c r="G8" s="14" t="n">
        <f aca="false">SUMIFS(Template!K5:K54,Template!B5:B54,"*Phase 4 -*")</f>
        <v>14111.79</v>
      </c>
      <c r="H8" s="14" t="n">
        <f aca="false">SUMIFS(Template!O5:O54,Template!B5:B54,"*Phase 4 -*")</f>
        <v>14111.79</v>
      </c>
      <c r="I8" s="14" t="n">
        <f aca="false">SUMIFS(Template!S5:S54,Template!B5:B54,"*Phase 4 -*")</f>
        <v>14111.79</v>
      </c>
    </row>
    <row r="9" customFormat="false" ht="15" hidden="false" customHeight="false" outlineLevel="0" collapsed="false">
      <c r="A9" s="11" t="s">
        <v>52</v>
      </c>
      <c r="B9" s="12" t="n">
        <v>0</v>
      </c>
      <c r="C9" s="7" t="s">
        <v>53</v>
      </c>
      <c r="D9" s="13" t="s">
        <v>54</v>
      </c>
      <c r="E9" s="6"/>
      <c r="F9" s="11" t="s">
        <v>55</v>
      </c>
      <c r="G9" s="14" t="n">
        <f aca="false">SUM(Template!K55:K60)</f>
        <v>11237.5</v>
      </c>
      <c r="H9" s="14" t="n">
        <f aca="false">SUM(Template!O55:O60)</f>
        <v>15283</v>
      </c>
      <c r="I9" s="14" t="n">
        <f aca="false">SUM(Template!S55:S60)</f>
        <v>22957.85</v>
      </c>
    </row>
    <row r="10" customFormat="false" ht="15" hidden="false" customHeight="false" outlineLevel="0" collapsed="false">
      <c r="A10" s="11" t="s">
        <v>56</v>
      </c>
      <c r="B10" s="12" t="n">
        <v>1</v>
      </c>
      <c r="C10" s="7" t="s">
        <v>57</v>
      </c>
      <c r="D10" s="13" t="s">
        <v>58</v>
      </c>
      <c r="E10" s="6"/>
      <c r="F10" s="11" t="s">
        <v>59</v>
      </c>
      <c r="G10" s="14" t="n">
        <f aca="false">SUM(Template!K61:K63)</f>
        <v>7025.681</v>
      </c>
      <c r="H10" s="14" t="n">
        <f aca="false">SUM(Template!O61:O63)</f>
        <v>7430.231</v>
      </c>
      <c r="I10" s="14" t="n">
        <f aca="false">SUM(Template!S61:S63)</f>
        <v>8197.716</v>
      </c>
    </row>
    <row r="11" customFormat="false" ht="15" hidden="false" customHeight="false" outlineLevel="0" collapsed="false">
      <c r="A11" s="11" t="s">
        <v>60</v>
      </c>
      <c r="B11" s="12" t="n">
        <v>0</v>
      </c>
      <c r="C11" s="7" t="s">
        <v>61</v>
      </c>
      <c r="D11" s="13" t="s">
        <v>62</v>
      </c>
      <c r="E11" s="6"/>
      <c r="F11" s="15" t="s">
        <v>63</v>
      </c>
      <c r="G11" s="16" t="n">
        <f aca="false">SUM(G5:G10)</f>
        <v>77282.491</v>
      </c>
      <c r="H11" s="16" t="n">
        <f aca="false">SUM(H5:H10)</f>
        <v>81732.541</v>
      </c>
      <c r="I11" s="16" t="n">
        <f aca="false">SUM(I5:I10)</f>
        <v>90174.876</v>
      </c>
    </row>
    <row r="12" customFormat="false" ht="15" hidden="false" customHeight="false" outlineLevel="0" collapsed="false">
      <c r="A12" s="11" t="s">
        <v>64</v>
      </c>
      <c r="B12" s="12" t="n">
        <v>0</v>
      </c>
      <c r="C12" s="7" t="s">
        <v>65</v>
      </c>
      <c r="D12" s="13" t="s">
        <v>66</v>
      </c>
      <c r="E12" s="6"/>
      <c r="F12" s="7" t="s">
        <v>67</v>
      </c>
      <c r="G12" s="17" t="str">
        <f aca="false">IF(ABS(G11-Template!K64)&lt;0.01,"OK","MISMATCH")</f>
        <v>OK</v>
      </c>
      <c r="H12" s="17" t="str">
        <f aca="false">IF(ABS(H11-Template!O64)&lt;0.01,"OK","MISMATCH")</f>
        <v>OK</v>
      </c>
      <c r="I12" s="17" t="str">
        <f aca="false">IF(ABS(I11-Template!S64)&lt;0.01,"OK","MISMATCH")</f>
        <v>OK</v>
      </c>
    </row>
    <row r="13" customFormat="false" ht="15" hidden="false" customHeight="false" outlineLevel="0" collapsed="false">
      <c r="A13" s="11" t="s">
        <v>68</v>
      </c>
      <c r="B13" s="12" t="n">
        <v>0</v>
      </c>
      <c r="C13" s="7" t="s">
        <v>69</v>
      </c>
      <c r="D13" s="13" t="s">
        <v>70</v>
      </c>
      <c r="E13" s="6"/>
      <c r="F13" s="6"/>
      <c r="G13" s="6"/>
      <c r="H13" s="6"/>
      <c r="I13" s="6"/>
    </row>
    <row r="14" customFormat="false" ht="15" hidden="false" customHeight="false" outlineLevel="0" collapsed="false">
      <c r="A14" s="11" t="s">
        <v>71</v>
      </c>
      <c r="B14" s="12" t="n">
        <v>0</v>
      </c>
      <c r="C14" s="7" t="s">
        <v>72</v>
      </c>
      <c r="D14" s="13" t="s">
        <v>73</v>
      </c>
      <c r="E14" s="6"/>
      <c r="F14" s="15" t="s">
        <v>74</v>
      </c>
      <c r="G14" s="6"/>
      <c r="H14" s="6"/>
      <c r="I14" s="6"/>
    </row>
    <row r="15" customFormat="false" ht="15" hidden="false" customHeight="false" outlineLevel="0" collapsed="false">
      <c r="A15" s="11" t="s">
        <v>75</v>
      </c>
      <c r="B15" s="12" t="n">
        <v>1</v>
      </c>
      <c r="C15" s="7" t="s">
        <v>76</v>
      </c>
      <c r="D15" s="13" t="s">
        <v>77</v>
      </c>
      <c r="E15" s="6"/>
      <c r="F15" s="11" t="s">
        <v>78</v>
      </c>
      <c r="G15" s="14" t="n">
        <f aca="false">ROUND(G11*(1-RangePct),-2)</f>
        <v>61800</v>
      </c>
      <c r="H15" s="14" t="n">
        <f aca="false">ROUND(H11*(1-RangePct),-2)</f>
        <v>65400</v>
      </c>
      <c r="I15" s="14" t="n">
        <f aca="false">ROUND(I11*(1-RangePct),-2)</f>
        <v>72100</v>
      </c>
    </row>
    <row r="16" customFormat="false" ht="15" hidden="false" customHeight="false" outlineLevel="0" collapsed="false">
      <c r="A16" s="11" t="s">
        <v>79</v>
      </c>
      <c r="B16" s="12" t="n">
        <v>1</v>
      </c>
      <c r="C16" s="7" t="s">
        <v>80</v>
      </c>
      <c r="D16" s="13" t="s">
        <v>81</v>
      </c>
      <c r="E16" s="6"/>
      <c r="F16" s="11" t="s">
        <v>82</v>
      </c>
      <c r="G16" s="14" t="n">
        <f aca="false">ROUND(G11*(1+RangePct),-2)</f>
        <v>92700</v>
      </c>
      <c r="H16" s="14" t="n">
        <f aca="false">ROUND(H11*(1+RangePct),-2)</f>
        <v>98100</v>
      </c>
      <c r="I16" s="14" t="n">
        <f aca="false">ROUND(I11*(1+RangePct),-2)</f>
        <v>108200</v>
      </c>
    </row>
    <row r="17" customFormat="false" ht="15" hidden="false" customHeight="false" outlineLevel="0" collapsed="false">
      <c r="A17" s="11" t="s">
        <v>83</v>
      </c>
      <c r="B17" s="12" t="n">
        <v>1</v>
      </c>
      <c r="C17" s="7" t="s">
        <v>84</v>
      </c>
      <c r="D17" s="13" t="s">
        <v>85</v>
      </c>
      <c r="E17" s="6"/>
      <c r="F17" s="6"/>
      <c r="G17" s="6"/>
      <c r="H17" s="6"/>
      <c r="I17" s="6"/>
    </row>
    <row r="18" customFormat="false" ht="15" hidden="false" customHeight="false" outlineLevel="0" collapsed="false">
      <c r="A18" s="11" t="s">
        <v>86</v>
      </c>
      <c r="B18" s="12" t="n">
        <v>1</v>
      </c>
      <c r="C18" s="7" t="s">
        <v>87</v>
      </c>
      <c r="D18" s="13" t="s">
        <v>88</v>
      </c>
      <c r="E18" s="6"/>
      <c r="F18" s="7" t="s">
        <v>89</v>
      </c>
      <c r="G18" s="6"/>
      <c r="H18" s="6"/>
      <c r="I18" s="6"/>
    </row>
    <row r="19" customFormat="false" ht="15" hidden="false" customHeight="false" outlineLevel="0" collapsed="false">
      <c r="A19" s="11" t="s">
        <v>90</v>
      </c>
      <c r="B19" s="12" t="n">
        <v>4</v>
      </c>
      <c r="C19" s="7" t="s">
        <v>91</v>
      </c>
      <c r="D19" s="13" t="s">
        <v>92</v>
      </c>
      <c r="E19" s="6"/>
      <c r="F19" s="7" t="s">
        <v>93</v>
      </c>
      <c r="G19" s="6"/>
      <c r="H19" s="6"/>
      <c r="I19" s="6"/>
    </row>
    <row r="20" customFormat="false" ht="15" hidden="false" customHeight="false" outlineLevel="0" collapsed="false">
      <c r="A20" s="11" t="s">
        <v>94</v>
      </c>
      <c r="B20" s="12" t="n">
        <v>0</v>
      </c>
      <c r="C20" s="7" t="s">
        <v>95</v>
      </c>
      <c r="D20" s="13" t="s">
        <v>96</v>
      </c>
      <c r="E20" s="6"/>
      <c r="F20" s="6"/>
      <c r="G20" s="6"/>
      <c r="H20" s="6"/>
      <c r="I20" s="6"/>
    </row>
    <row r="21" customFormat="false" ht="15" hidden="false" customHeight="false" outlineLevel="0" collapsed="false">
      <c r="A21" s="11" t="s">
        <v>97</v>
      </c>
      <c r="B21" s="12" t="n">
        <v>1</v>
      </c>
      <c r="C21" s="7" t="s">
        <v>98</v>
      </c>
      <c r="D21" s="13" t="s">
        <v>99</v>
      </c>
      <c r="E21" s="6"/>
      <c r="F21" s="6"/>
      <c r="G21" s="6"/>
      <c r="H21" s="6"/>
      <c r="I21" s="6"/>
    </row>
    <row r="22" customFormat="false" ht="15" hidden="false" customHeight="false" outlineLevel="0" collapsed="false">
      <c r="A22" s="11" t="s">
        <v>100</v>
      </c>
      <c r="B22" s="12" t="n">
        <v>0</v>
      </c>
      <c r="C22" s="7" t="s">
        <v>101</v>
      </c>
      <c r="D22" s="13" t="s">
        <v>102</v>
      </c>
      <c r="E22" s="6"/>
      <c r="F22" s="6"/>
      <c r="G22" s="6"/>
      <c r="H22" s="6"/>
      <c r="I22" s="6"/>
    </row>
    <row r="23" customFormat="false" ht="15" hidden="false" customHeight="false" outlineLevel="0" collapsed="false">
      <c r="A23" s="11" t="s">
        <v>103</v>
      </c>
      <c r="B23" s="12" t="n">
        <v>0</v>
      </c>
      <c r="C23" s="7" t="s">
        <v>104</v>
      </c>
      <c r="D23" s="13" t="s">
        <v>105</v>
      </c>
      <c r="E23" s="6"/>
      <c r="F23" s="6"/>
      <c r="G23" s="6"/>
      <c r="H23" s="6"/>
      <c r="I23" s="6"/>
    </row>
    <row r="24" customFormat="false" ht="15" hidden="false" customHeight="false" outlineLevel="0" collapsed="false">
      <c r="A24" s="11" t="s">
        <v>106</v>
      </c>
      <c r="B24" s="12" t="n">
        <v>1</v>
      </c>
      <c r="C24" s="7" t="s">
        <v>107</v>
      </c>
      <c r="D24" s="13" t="s">
        <v>108</v>
      </c>
      <c r="E24" s="6"/>
      <c r="F24" s="6"/>
      <c r="G24" s="6"/>
      <c r="H24" s="6"/>
      <c r="I24" s="6"/>
    </row>
    <row r="25" customFormat="false" ht="15" hidden="false" customHeight="false" outlineLevel="0" collapsed="false">
      <c r="A25" s="11" t="s">
        <v>109</v>
      </c>
      <c r="B25" s="12" t="n">
        <v>0</v>
      </c>
      <c r="C25" s="7" t="s">
        <v>110</v>
      </c>
      <c r="D25" s="13" t="s">
        <v>111</v>
      </c>
      <c r="E25" s="6"/>
      <c r="F25" s="6"/>
      <c r="G25" s="6"/>
      <c r="H25" s="6"/>
      <c r="I25" s="6"/>
    </row>
    <row r="26" customFormat="false" ht="15" hidden="false" customHeight="false" outlineLevel="0" collapsed="false">
      <c r="A26" s="11" t="s">
        <v>112</v>
      </c>
      <c r="B26" s="12" t="n">
        <v>1</v>
      </c>
      <c r="C26" s="7" t="s">
        <v>113</v>
      </c>
      <c r="D26" s="13" t="s">
        <v>114</v>
      </c>
      <c r="E26" s="6"/>
      <c r="F26" s="6"/>
      <c r="G26" s="6"/>
      <c r="H26" s="6"/>
      <c r="I26" s="6"/>
    </row>
    <row r="27" customFormat="false" ht="15" hidden="false" customHeight="false" outlineLevel="0" collapsed="false">
      <c r="A27" s="11" t="s">
        <v>115</v>
      </c>
      <c r="B27" s="12" t="n">
        <v>0</v>
      </c>
      <c r="C27" s="7" t="s">
        <v>116</v>
      </c>
      <c r="D27" s="13" t="s">
        <v>117</v>
      </c>
      <c r="E27" s="6"/>
      <c r="F27" s="6"/>
      <c r="G27" s="6"/>
      <c r="H27" s="6"/>
      <c r="I27" s="6"/>
    </row>
    <row r="28" customFormat="false" ht="15" hidden="false" customHeight="false" outlineLevel="0" collapsed="false">
      <c r="A28" s="11" t="s">
        <v>118</v>
      </c>
      <c r="B28" s="12" t="n">
        <v>0</v>
      </c>
      <c r="C28" s="7" t="s">
        <v>119</v>
      </c>
      <c r="D28" s="13" t="s">
        <v>120</v>
      </c>
      <c r="E28" s="6"/>
      <c r="F28" s="6"/>
      <c r="G28" s="6"/>
      <c r="H28" s="6"/>
      <c r="I28" s="6"/>
    </row>
    <row r="29" customFormat="false" ht="15" hidden="false" customHeight="false" outlineLevel="0" collapsed="false">
      <c r="A29" s="11" t="s">
        <v>121</v>
      </c>
      <c r="B29" s="12" t="n">
        <v>0</v>
      </c>
      <c r="C29" s="7" t="s">
        <v>122</v>
      </c>
      <c r="D29" s="13" t="s">
        <v>123</v>
      </c>
      <c r="E29" s="6"/>
      <c r="F29" s="6"/>
      <c r="G29" s="6"/>
      <c r="H29" s="6"/>
      <c r="I29" s="6"/>
    </row>
    <row r="30" customFormat="false" ht="15" hidden="false" customHeight="false" outlineLevel="0" collapsed="false">
      <c r="A30" s="11" t="s">
        <v>124</v>
      </c>
      <c r="B30" s="12" t="n">
        <v>0</v>
      </c>
      <c r="C30" s="7" t="s">
        <v>125</v>
      </c>
      <c r="D30" s="13" t="s">
        <v>126</v>
      </c>
      <c r="E30" s="6"/>
      <c r="F30" s="6"/>
      <c r="G30" s="6"/>
      <c r="H30" s="6"/>
      <c r="I30" s="6"/>
    </row>
    <row r="31" customFormat="false" ht="15" hidden="false" customHeight="false" outlineLevel="0" collapsed="false">
      <c r="A31" s="11" t="s">
        <v>127</v>
      </c>
      <c r="B31" s="12" t="n">
        <v>1</v>
      </c>
      <c r="C31" s="7" t="s">
        <v>128</v>
      </c>
      <c r="D31" s="13" t="s">
        <v>129</v>
      </c>
      <c r="E31" s="6"/>
      <c r="F31" s="6"/>
      <c r="G31" s="6"/>
      <c r="H31" s="6"/>
      <c r="I31" s="6"/>
    </row>
    <row r="32" customFormat="false" ht="15" hidden="false" customHeight="false" outlineLevel="0" collapsed="false">
      <c r="A32" s="11" t="s">
        <v>130</v>
      </c>
      <c r="B32" s="12" t="n">
        <v>1</v>
      </c>
      <c r="C32" s="7" t="s">
        <v>131</v>
      </c>
      <c r="D32" s="13" t="s">
        <v>132</v>
      </c>
      <c r="E32" s="6"/>
      <c r="F32" s="6"/>
      <c r="G32" s="6"/>
      <c r="H32" s="6"/>
      <c r="I32" s="6"/>
    </row>
    <row r="33" customFormat="false" ht="15" hidden="false" customHeight="false" outlineLevel="0" collapsed="false">
      <c r="A33" s="11" t="s">
        <v>133</v>
      </c>
      <c r="B33" s="12" t="n">
        <v>10</v>
      </c>
      <c r="C33" s="7" t="s">
        <v>134</v>
      </c>
      <c r="D33" s="13" t="s">
        <v>135</v>
      </c>
      <c r="E33" s="6"/>
      <c r="F33" s="6"/>
      <c r="G33" s="6"/>
      <c r="H33" s="6"/>
      <c r="I33" s="6"/>
    </row>
    <row r="34" customFormat="false" ht="15" hidden="false" customHeight="false" outlineLevel="0" collapsed="false">
      <c r="A34" s="11" t="s">
        <v>136</v>
      </c>
      <c r="B34" s="12" t="n">
        <v>200</v>
      </c>
      <c r="C34" s="7" t="s">
        <v>137</v>
      </c>
      <c r="D34" s="13" t="s">
        <v>138</v>
      </c>
      <c r="E34" s="6"/>
      <c r="F34" s="6"/>
      <c r="G34" s="6"/>
      <c r="H34" s="6"/>
      <c r="I3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8"/>
    <col collapsed="false" customWidth="true" hidden="false" outlineLevel="0" max="19" min="8" style="0" width="11"/>
    <col collapsed="false" customWidth="true" hidden="false" outlineLevel="0" max="21" min="21" style="0" width="70"/>
  </cols>
  <sheetData>
    <row r="1" customFormat="false" ht="17.35" hidden="false" customHeight="false" outlineLevel="0" collapsed="false">
      <c r="A1" s="5" t="s">
        <v>139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140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23.85" hidden="false" customHeight="false" outlineLevel="0" collapsed="false">
      <c r="A4" s="8" t="s">
        <v>141</v>
      </c>
      <c r="B4" s="8" t="s">
        <v>142</v>
      </c>
      <c r="C4" s="8" t="s">
        <v>143</v>
      </c>
      <c r="D4" s="8" t="s">
        <v>144</v>
      </c>
      <c r="E4" s="8" t="s">
        <v>145</v>
      </c>
      <c r="F4" s="8" t="s">
        <v>146</v>
      </c>
      <c r="G4" s="8" t="s">
        <v>147</v>
      </c>
      <c r="H4" s="8" t="s">
        <v>148</v>
      </c>
      <c r="I4" s="8" t="s">
        <v>149</v>
      </c>
      <c r="J4" s="8" t="s">
        <v>150</v>
      </c>
      <c r="K4" s="8" t="s">
        <v>151</v>
      </c>
      <c r="L4" s="8" t="s">
        <v>152</v>
      </c>
      <c r="M4" s="8" t="s">
        <v>153</v>
      </c>
      <c r="N4" s="8" t="s">
        <v>154</v>
      </c>
      <c r="O4" s="8" t="s">
        <v>155</v>
      </c>
      <c r="P4" s="8" t="s">
        <v>156</v>
      </c>
      <c r="Q4" s="8" t="s">
        <v>157</v>
      </c>
      <c r="R4" s="8" t="s">
        <v>158</v>
      </c>
      <c r="S4" s="8" t="s">
        <v>159</v>
      </c>
      <c r="T4" s="8" t="s">
        <v>160</v>
      </c>
      <c r="U4" s="8" t="s">
        <v>161</v>
      </c>
    </row>
    <row r="5" customFormat="false" ht="15" hidden="false" customHeight="false" outlineLevel="0" collapsed="false">
      <c r="A5" s="18" t="n">
        <v>1</v>
      </c>
      <c r="B5" s="18" t="s">
        <v>162</v>
      </c>
      <c r="C5" s="18" t="s">
        <v>163</v>
      </c>
      <c r="D5" s="18" t="s">
        <v>164</v>
      </c>
      <c r="E5" s="18" t="s">
        <v>165</v>
      </c>
      <c r="F5" s="19" t="s">
        <v>138</v>
      </c>
      <c r="G5" s="20" t="n">
        <f aca="false">p_Addition_Permit_Fee</f>
        <v>200</v>
      </c>
      <c r="H5" s="21" t="n">
        <v>1</v>
      </c>
      <c r="I5" s="22" t="s">
        <v>166</v>
      </c>
      <c r="J5" s="23" t="n">
        <f aca="false">H5*INDEX(MarkupVals,MATCH(I5,MarkupCodes,0))</f>
        <v>1.45</v>
      </c>
      <c r="K5" s="24" t="n">
        <f aca="false">G5*J5</f>
        <v>290</v>
      </c>
      <c r="L5" s="21" t="n">
        <v>1</v>
      </c>
      <c r="M5" s="22" t="s">
        <v>166</v>
      </c>
      <c r="N5" s="23" t="n">
        <f aca="false">L5*INDEX(MarkupVals,MATCH(M5,MarkupCodes,0))</f>
        <v>1.45</v>
      </c>
      <c r="O5" s="24" t="n">
        <f aca="false">G5*N5</f>
        <v>290</v>
      </c>
      <c r="P5" s="21" t="n">
        <v>1</v>
      </c>
      <c r="Q5" s="22" t="s">
        <v>166</v>
      </c>
      <c r="R5" s="23" t="n">
        <f aca="false">P5*INDEX(MarkupVals,MATCH(Q5,MarkupCodes,0))</f>
        <v>1.45</v>
      </c>
      <c r="S5" s="24" t="n">
        <f aca="false">G5*R5</f>
        <v>290</v>
      </c>
      <c r="T5" s="25"/>
      <c r="U5" s="26" t="s">
        <v>167</v>
      </c>
    </row>
    <row r="6" customFormat="false" ht="15" hidden="false" customHeight="false" outlineLevel="0" collapsed="false">
      <c r="A6" s="18" t="n">
        <v>2</v>
      </c>
      <c r="B6" s="18" t="s">
        <v>168</v>
      </c>
      <c r="C6" s="18" t="s">
        <v>169</v>
      </c>
      <c r="D6" s="18" t="s">
        <v>170</v>
      </c>
      <c r="E6" s="18" t="s">
        <v>171</v>
      </c>
      <c r="F6" s="19" t="s">
        <v>172</v>
      </c>
      <c r="G6" s="20" t="n">
        <f aca="false">6 + p_Addition_Living_Space*ROUNDUP(p_Addition_Width*p_Addition_Depth*p_Addition_Stories/30,0)</f>
        <v>17</v>
      </c>
      <c r="H6" s="23" t="n">
        <f aca="false">LaborCost</f>
        <v>55</v>
      </c>
      <c r="I6" s="22" t="s">
        <v>173</v>
      </c>
      <c r="J6" s="23" t="n">
        <f aca="false">H6*INDEX(MarkupVals,MATCH(I6,MarkupCodes,0))</f>
        <v>100</v>
      </c>
      <c r="K6" s="24" t="n">
        <f aca="false">G6*J6</f>
        <v>1700</v>
      </c>
      <c r="L6" s="23" t="n">
        <f aca="false">LaborCost</f>
        <v>55</v>
      </c>
      <c r="M6" s="22" t="s">
        <v>173</v>
      </c>
      <c r="N6" s="23" t="n">
        <f aca="false">L6*INDEX(MarkupVals,MATCH(M6,MarkupCodes,0))</f>
        <v>100</v>
      </c>
      <c r="O6" s="24" t="n">
        <f aca="false">G6*N6</f>
        <v>1700</v>
      </c>
      <c r="P6" s="23" t="n">
        <f aca="false">LaborCost</f>
        <v>55</v>
      </c>
      <c r="Q6" s="22" t="s">
        <v>173</v>
      </c>
      <c r="R6" s="23" t="n">
        <f aca="false">P6*INDEX(MarkupVals,MATCH(Q6,MarkupCodes,0))</f>
        <v>100</v>
      </c>
      <c r="S6" s="24" t="n">
        <f aca="false">G6*R6</f>
        <v>1700</v>
      </c>
      <c r="T6" s="25"/>
      <c r="U6" s="26"/>
    </row>
    <row r="7" customFormat="false" ht="15" hidden="false" customHeight="false" outlineLevel="0" collapsed="false">
      <c r="A7" s="18" t="n">
        <v>3</v>
      </c>
      <c r="B7" s="18" t="s">
        <v>174</v>
      </c>
      <c r="C7" s="18" t="s">
        <v>175</v>
      </c>
      <c r="D7" s="18" t="s">
        <v>176</v>
      </c>
      <c r="E7" s="18" t="s">
        <v>177</v>
      </c>
      <c r="F7" s="19" t="s">
        <v>178</v>
      </c>
      <c r="G7" s="20" t="n">
        <f aca="false">1</f>
        <v>1</v>
      </c>
      <c r="H7" s="21" t="n">
        <v>150</v>
      </c>
      <c r="I7" s="22" t="s">
        <v>179</v>
      </c>
      <c r="J7" s="23" t="n">
        <f aca="false">H7*INDEX(MarkupVals,MATCH(I7,MarkupCodes,0))</f>
        <v>217.5</v>
      </c>
      <c r="K7" s="24" t="n">
        <f aca="false">G7*J7</f>
        <v>217.5</v>
      </c>
      <c r="L7" s="21" t="n">
        <v>150</v>
      </c>
      <c r="M7" s="22" t="s">
        <v>179</v>
      </c>
      <c r="N7" s="23" t="n">
        <f aca="false">L7*INDEX(MarkupVals,MATCH(M7,MarkupCodes,0))</f>
        <v>217.5</v>
      </c>
      <c r="O7" s="24" t="n">
        <f aca="false">G7*N7</f>
        <v>217.5</v>
      </c>
      <c r="P7" s="21" t="n">
        <v>150</v>
      </c>
      <c r="Q7" s="22" t="s">
        <v>179</v>
      </c>
      <c r="R7" s="23" t="n">
        <f aca="false">P7*INDEX(MarkupVals,MATCH(Q7,MarkupCodes,0))</f>
        <v>217.5</v>
      </c>
      <c r="S7" s="24" t="n">
        <f aca="false">G7*R7</f>
        <v>217.5</v>
      </c>
      <c r="T7" s="25"/>
      <c r="U7" s="26"/>
    </row>
    <row r="8" customFormat="false" ht="15" hidden="false" customHeight="false" outlineLevel="0" collapsed="false">
      <c r="A8" s="18" t="n">
        <v>4</v>
      </c>
      <c r="B8" s="18" t="s">
        <v>174</v>
      </c>
      <c r="C8" s="18" t="s">
        <v>180</v>
      </c>
      <c r="D8" s="18" t="s">
        <v>181</v>
      </c>
      <c r="E8" s="18" t="s">
        <v>171</v>
      </c>
      <c r="F8" s="19" t="s">
        <v>182</v>
      </c>
      <c r="G8" s="20" t="n">
        <f aca="false">4 + ROUNDUP(p_Addition_Width*p_Addition_Depth*p_Addition_Stories/200,0)</f>
        <v>6</v>
      </c>
      <c r="H8" s="23" t="n">
        <f aca="false">LaborCost</f>
        <v>55</v>
      </c>
      <c r="I8" s="22" t="s">
        <v>173</v>
      </c>
      <c r="J8" s="23" t="n">
        <f aca="false">H8*INDEX(MarkupVals,MATCH(I8,MarkupCodes,0))</f>
        <v>100</v>
      </c>
      <c r="K8" s="24" t="n">
        <f aca="false">G8*J8</f>
        <v>600</v>
      </c>
      <c r="L8" s="23" t="n">
        <f aca="false">LaborCost</f>
        <v>55</v>
      </c>
      <c r="M8" s="22" t="s">
        <v>173</v>
      </c>
      <c r="N8" s="23" t="n">
        <f aca="false">L8*INDEX(MarkupVals,MATCH(M8,MarkupCodes,0))</f>
        <v>100</v>
      </c>
      <c r="O8" s="24" t="n">
        <f aca="false">G8*N8</f>
        <v>600</v>
      </c>
      <c r="P8" s="23" t="n">
        <f aca="false">LaborCost</f>
        <v>55</v>
      </c>
      <c r="Q8" s="22" t="s">
        <v>173</v>
      </c>
      <c r="R8" s="23" t="n">
        <f aca="false">P8*INDEX(MarkupVals,MATCH(Q8,MarkupCodes,0))</f>
        <v>100</v>
      </c>
      <c r="S8" s="24" t="n">
        <f aca="false">G8*R8</f>
        <v>600</v>
      </c>
      <c r="T8" s="25"/>
      <c r="U8" s="26"/>
    </row>
    <row r="9" customFormat="false" ht="15" hidden="false" customHeight="false" outlineLevel="0" collapsed="false">
      <c r="A9" s="18" t="n">
        <v>5</v>
      </c>
      <c r="B9" s="18" t="s">
        <v>174</v>
      </c>
      <c r="C9" s="18" t="s">
        <v>183</v>
      </c>
      <c r="D9" s="18" t="s">
        <v>164</v>
      </c>
      <c r="E9" s="18" t="s">
        <v>177</v>
      </c>
      <c r="F9" s="19" t="s">
        <v>184</v>
      </c>
      <c r="G9" s="20" t="n">
        <f aca="false">1 + ROUNDUP(p_Addition_Width*p_Addition_Depth*p_Addition_Stories/400,0) + 3*p_Addition_Living_Space</f>
        <v>5</v>
      </c>
      <c r="H9" s="21" t="n">
        <v>300</v>
      </c>
      <c r="I9" s="22" t="s">
        <v>166</v>
      </c>
      <c r="J9" s="23" t="n">
        <f aca="false">H9*INDEX(MarkupVals,MATCH(I9,MarkupCodes,0))</f>
        <v>435</v>
      </c>
      <c r="K9" s="24" t="n">
        <f aca="false">G9*J9</f>
        <v>2175</v>
      </c>
      <c r="L9" s="21" t="n">
        <v>300</v>
      </c>
      <c r="M9" s="22" t="s">
        <v>166</v>
      </c>
      <c r="N9" s="23" t="n">
        <f aca="false">L9*INDEX(MarkupVals,MATCH(M9,MarkupCodes,0))</f>
        <v>435</v>
      </c>
      <c r="O9" s="24" t="n">
        <f aca="false">G9*N9</f>
        <v>2175</v>
      </c>
      <c r="P9" s="21" t="n">
        <v>300</v>
      </c>
      <c r="Q9" s="22" t="s">
        <v>166</v>
      </c>
      <c r="R9" s="23" t="n">
        <f aca="false">P9*INDEX(MarkupVals,MATCH(Q9,MarkupCodes,0))</f>
        <v>435</v>
      </c>
      <c r="S9" s="24" t="n">
        <f aca="false">G9*R9</f>
        <v>2175</v>
      </c>
      <c r="T9" s="25"/>
      <c r="U9" s="26" t="s">
        <v>185</v>
      </c>
    </row>
    <row r="10" customFormat="false" ht="15" hidden="false" customHeight="false" outlineLevel="0" collapsed="false">
      <c r="A10" s="18" t="n">
        <v>6</v>
      </c>
      <c r="B10" s="18" t="s">
        <v>186</v>
      </c>
      <c r="C10" s="18" t="s">
        <v>187</v>
      </c>
      <c r="D10" s="18" t="s">
        <v>187</v>
      </c>
      <c r="E10" s="18" t="s">
        <v>171</v>
      </c>
      <c r="F10" s="19" t="s">
        <v>188</v>
      </c>
      <c r="G10" s="20" t="n">
        <f aca="false">4*(1 - p_Addition_Detached) + ROUNDUP(p_Addition_Structure_Removed/3,0) + 8*p_Addition_Wall_Openings</f>
        <v>12</v>
      </c>
      <c r="H10" s="23" t="n">
        <f aca="false">LaborCost</f>
        <v>55</v>
      </c>
      <c r="I10" s="22" t="s">
        <v>173</v>
      </c>
      <c r="J10" s="23" t="n">
        <f aca="false">H10*INDEX(MarkupVals,MATCH(I10,MarkupCodes,0))</f>
        <v>100</v>
      </c>
      <c r="K10" s="24" t="n">
        <f aca="false">G10*J10</f>
        <v>1200</v>
      </c>
      <c r="L10" s="23" t="n">
        <f aca="false">LaborCost</f>
        <v>55</v>
      </c>
      <c r="M10" s="22" t="s">
        <v>173</v>
      </c>
      <c r="N10" s="23" t="n">
        <f aca="false">L10*INDEX(MarkupVals,MATCH(M10,MarkupCodes,0))</f>
        <v>100</v>
      </c>
      <c r="O10" s="24" t="n">
        <f aca="false">G10*N10</f>
        <v>1200</v>
      </c>
      <c r="P10" s="23" t="n">
        <f aca="false">LaborCost</f>
        <v>55</v>
      </c>
      <c r="Q10" s="22" t="s">
        <v>173</v>
      </c>
      <c r="R10" s="23" t="n">
        <f aca="false">P10*INDEX(MarkupVals,MATCH(Q10,MarkupCodes,0))</f>
        <v>100</v>
      </c>
      <c r="S10" s="24" t="n">
        <f aca="false">G10*R10</f>
        <v>1200</v>
      </c>
      <c r="T10" s="25"/>
      <c r="U10" s="26" t="s">
        <v>189</v>
      </c>
    </row>
    <row r="11" customFormat="false" ht="15" hidden="false" customHeight="false" outlineLevel="0" collapsed="false">
      <c r="A11" s="18" t="n">
        <v>7</v>
      </c>
      <c r="B11" s="18" t="s">
        <v>190</v>
      </c>
      <c r="C11" s="18" t="s">
        <v>191</v>
      </c>
      <c r="D11" s="18" t="s">
        <v>192</v>
      </c>
      <c r="E11" s="18" t="s">
        <v>177</v>
      </c>
      <c r="F11" s="19" t="s">
        <v>129</v>
      </c>
      <c r="G11" s="20" t="n">
        <f aca="false">p_Addition_Dumpster_Loads</f>
        <v>1</v>
      </c>
      <c r="H11" s="21" t="n">
        <v>250</v>
      </c>
      <c r="I11" s="22" t="s">
        <v>173</v>
      </c>
      <c r="J11" s="21" t="n">
        <v>450</v>
      </c>
      <c r="K11" s="24" t="n">
        <f aca="false">G11*J11</f>
        <v>450</v>
      </c>
      <c r="L11" s="21" t="n">
        <v>250</v>
      </c>
      <c r="M11" s="22" t="s">
        <v>173</v>
      </c>
      <c r="N11" s="21" t="n">
        <v>450</v>
      </c>
      <c r="O11" s="24" t="n">
        <f aca="false">G11*N11</f>
        <v>450</v>
      </c>
      <c r="P11" s="21" t="n">
        <v>250</v>
      </c>
      <c r="Q11" s="22" t="s">
        <v>173</v>
      </c>
      <c r="R11" s="21" t="n">
        <v>450</v>
      </c>
      <c r="S11" s="24" t="n">
        <f aca="false">G11*R11</f>
        <v>450</v>
      </c>
      <c r="T11" s="25"/>
      <c r="U11" s="26" t="s">
        <v>193</v>
      </c>
    </row>
    <row r="12" customFormat="false" ht="15" hidden="false" customHeight="false" outlineLevel="0" collapsed="false">
      <c r="A12" s="18" t="n">
        <v>8</v>
      </c>
      <c r="B12" s="18" t="s">
        <v>190</v>
      </c>
      <c r="C12" s="18" t="s">
        <v>194</v>
      </c>
      <c r="D12" s="18" t="s">
        <v>181</v>
      </c>
      <c r="E12" s="18" t="s">
        <v>171</v>
      </c>
      <c r="F12" s="19" t="s">
        <v>195</v>
      </c>
      <c r="G12" s="20" t="n">
        <f aca="false">2 + 2*p_Addition_Living_Space</f>
        <v>4</v>
      </c>
      <c r="H12" s="23" t="n">
        <f aca="false">LaborCost</f>
        <v>55</v>
      </c>
      <c r="I12" s="22" t="s">
        <v>173</v>
      </c>
      <c r="J12" s="23" t="n">
        <f aca="false">H12*INDEX(MarkupVals,MATCH(I12,MarkupCodes,0))</f>
        <v>100</v>
      </c>
      <c r="K12" s="24" t="n">
        <f aca="false">G12*J12</f>
        <v>400</v>
      </c>
      <c r="L12" s="23" t="n">
        <f aca="false">LaborCost</f>
        <v>55</v>
      </c>
      <c r="M12" s="22" t="s">
        <v>173</v>
      </c>
      <c r="N12" s="23" t="n">
        <f aca="false">L12*INDEX(MarkupVals,MATCH(M12,MarkupCodes,0))</f>
        <v>100</v>
      </c>
      <c r="O12" s="24" t="n">
        <f aca="false">G12*N12</f>
        <v>400</v>
      </c>
      <c r="P12" s="23" t="n">
        <f aca="false">LaborCost</f>
        <v>55</v>
      </c>
      <c r="Q12" s="22" t="s">
        <v>173</v>
      </c>
      <c r="R12" s="23" t="n">
        <f aca="false">P12*INDEX(MarkupVals,MATCH(Q12,MarkupCodes,0))</f>
        <v>100</v>
      </c>
      <c r="S12" s="24" t="n">
        <f aca="false">G12*R12</f>
        <v>400</v>
      </c>
      <c r="T12" s="25"/>
      <c r="U12" s="26"/>
    </row>
    <row r="13" customFormat="false" ht="15" hidden="false" customHeight="false" outlineLevel="0" collapsed="false">
      <c r="A13" s="18" t="n">
        <v>9</v>
      </c>
      <c r="B13" s="18" t="s">
        <v>196</v>
      </c>
      <c r="C13" s="18" t="s">
        <v>197</v>
      </c>
      <c r="D13" s="18" t="s">
        <v>198</v>
      </c>
      <c r="E13" s="18" t="s">
        <v>171</v>
      </c>
      <c r="F13" s="19" t="s">
        <v>199</v>
      </c>
      <c r="G13" s="20" t="n">
        <f aca="false">ROUNDUP((p_Addition_Service_Zone - 1)*(p_Addition_Service_Zone + 2)/8*((6 + p_Addition_Living_Space*ROUNDUP(p_Addition_Width*p_Addition_Depth*p_Addition_Stories/30,0)) + (4 + ROUNDUP(p_Addition_Width*p_Addition_Depth*p_Addition_Stories/200,0)) + (4*(1 - p_Addition_Detached) + ROUNDUP(p_Addition_Structure_Removed/3,0) + 8*p_Addition_Wall_Openings) + (2 + 2*p_Addition_Living_Space) + (16*p_Addition_Site_Excavation) + (3*p_Addition_Piers) + (ROUNDUP(p_Addition_Width*p_Addition_Depth*p_Addition_Stories/6,0) + 8*p_Addition_Wall_Openings + 8*p_Addition_Roof_Tie_In) + (ROUNDUP((p_Addition_Width + 2*p_Addition_Depth + p_Addition_Detached*p_Addition_Width)*p_Addition_Wall_Height*p_Addition_Stories*1.15/100,0) + p_Addition_Extra_Siding_Squares) + (ROUNDUP(2.5*p_Addition_Windows,0)) + (8*p_Addition_Exterior_Doors + 8*p_Addition_Patio_Doors + 3*p_Addition_Interior_Doors) + (9*p_Addition_Plumbing_Fixtures) + (p_Addition_Electrical*(8 + ROUNDUP(p_Addition_Width*p_Addition_Depth*p_Addition_Stories/16,0))) + (p_Addition_Drywall*ROUNDUP(p_Addition_Width*p_Addition_Depth*p_Addition_Stories/12,0)) + (p_Addition_Drywall*ROUNDUP(p_Addition_Width*p_Addition_Depth*p_Addition_Stories/15,0)) + (p_Addition_Living_Space*ROUNDUP(p_Addition_Width*p_Addition_Depth*p_Addition_Stories/25,0)) + (p_Addition_Living_Space*(4 + ROUNDUP((p_Addition_Width + 2*p_Addition_Depth + p_Addition_Detached*p_Addition_Width)*p_Addition_Stories/8,0) + p_Addition_Windows + p_Addition_Exterior_Doors + p_Addition_Patio_Doors)))/8,0)</f>
        <v>0</v>
      </c>
      <c r="H13" s="23" t="n">
        <f aca="false">LaborCost</f>
        <v>55</v>
      </c>
      <c r="I13" s="22" t="s">
        <v>173</v>
      </c>
      <c r="J13" s="23" t="n">
        <f aca="false">H13*INDEX(MarkupVals,MATCH(I13,MarkupCodes,0))</f>
        <v>100</v>
      </c>
      <c r="K13" s="24" t="n">
        <f aca="false">G13*J13</f>
        <v>0</v>
      </c>
      <c r="L13" s="23" t="n">
        <f aca="false">LaborCost</f>
        <v>55</v>
      </c>
      <c r="M13" s="22" t="s">
        <v>173</v>
      </c>
      <c r="N13" s="23" t="n">
        <f aca="false">L13*INDEX(MarkupVals,MATCH(M13,MarkupCodes,0))</f>
        <v>100</v>
      </c>
      <c r="O13" s="24" t="n">
        <f aca="false">G13*N13</f>
        <v>0</v>
      </c>
      <c r="P13" s="23" t="n">
        <f aca="false">LaborCost</f>
        <v>55</v>
      </c>
      <c r="Q13" s="22" t="s">
        <v>173</v>
      </c>
      <c r="R13" s="23" t="n">
        <f aca="false">P13*INDEX(MarkupVals,MATCH(Q13,MarkupCodes,0))</f>
        <v>100</v>
      </c>
      <c r="S13" s="24" t="n">
        <f aca="false">G13*R13</f>
        <v>0</v>
      </c>
      <c r="T13" s="25"/>
      <c r="U13" s="26" t="s">
        <v>200</v>
      </c>
    </row>
    <row r="14" customFormat="false" ht="15" hidden="false" customHeight="false" outlineLevel="0" collapsed="false">
      <c r="A14" s="18" t="n">
        <v>10</v>
      </c>
      <c r="B14" s="18" t="s">
        <v>201</v>
      </c>
      <c r="C14" s="18" t="s">
        <v>202</v>
      </c>
      <c r="D14" s="18" t="s">
        <v>203</v>
      </c>
      <c r="E14" s="18" t="s">
        <v>204</v>
      </c>
      <c r="F14" s="19" t="s">
        <v>126</v>
      </c>
      <c r="G14" s="20" t="n">
        <f aca="false">p_Addition_Utility_Trench</f>
        <v>0</v>
      </c>
      <c r="H14" s="21" t="n">
        <v>12</v>
      </c>
      <c r="I14" s="22" t="s">
        <v>166</v>
      </c>
      <c r="J14" s="23" t="n">
        <f aca="false">H14*INDEX(MarkupVals,MATCH(I14,MarkupCodes,0))</f>
        <v>17.4</v>
      </c>
      <c r="K14" s="24" t="n">
        <f aca="false">G14*J14</f>
        <v>0</v>
      </c>
      <c r="L14" s="21" t="n">
        <v>12</v>
      </c>
      <c r="M14" s="22" t="s">
        <v>166</v>
      </c>
      <c r="N14" s="23" t="n">
        <f aca="false">L14*INDEX(MarkupVals,MATCH(M14,MarkupCodes,0))</f>
        <v>17.4</v>
      </c>
      <c r="O14" s="24" t="n">
        <f aca="false">G14*N14</f>
        <v>0</v>
      </c>
      <c r="P14" s="21" t="n">
        <v>12</v>
      </c>
      <c r="Q14" s="22" t="s">
        <v>166</v>
      </c>
      <c r="R14" s="23" t="n">
        <f aca="false">P14*INDEX(MarkupVals,MATCH(Q14,MarkupCodes,0))</f>
        <v>17.4</v>
      </c>
      <c r="S14" s="24" t="n">
        <f aca="false">G14*R14</f>
        <v>0</v>
      </c>
      <c r="T14" s="25"/>
      <c r="U14" s="26" t="s">
        <v>205</v>
      </c>
    </row>
    <row r="15" customFormat="false" ht="15" hidden="false" customHeight="false" outlineLevel="0" collapsed="false">
      <c r="A15" s="18" t="n">
        <v>11</v>
      </c>
      <c r="B15" s="18" t="s">
        <v>206</v>
      </c>
      <c r="C15" s="18" t="s">
        <v>207</v>
      </c>
      <c r="D15" s="18" t="s">
        <v>208</v>
      </c>
      <c r="E15" s="18" t="s">
        <v>171</v>
      </c>
      <c r="F15" s="19" t="s">
        <v>209</v>
      </c>
      <c r="G15" s="20" t="n">
        <f aca="false">16*p_Addition_Site_Excavation</f>
        <v>0</v>
      </c>
      <c r="H15" s="23" t="n">
        <f aca="false">LaborCost</f>
        <v>55</v>
      </c>
      <c r="I15" s="22" t="s">
        <v>173</v>
      </c>
      <c r="J15" s="23" t="n">
        <f aca="false">H15*INDEX(MarkupVals,MATCH(I15,MarkupCodes,0))</f>
        <v>100</v>
      </c>
      <c r="K15" s="24" t="n">
        <f aca="false">G15*J15</f>
        <v>0</v>
      </c>
      <c r="L15" s="23" t="n">
        <f aca="false">LaborCost</f>
        <v>55</v>
      </c>
      <c r="M15" s="22" t="s">
        <v>173</v>
      </c>
      <c r="N15" s="23" t="n">
        <f aca="false">L15*INDEX(MarkupVals,MATCH(M15,MarkupCodes,0))</f>
        <v>100</v>
      </c>
      <c r="O15" s="24" t="n">
        <f aca="false">G15*N15</f>
        <v>0</v>
      </c>
      <c r="P15" s="23" t="n">
        <f aca="false">LaborCost</f>
        <v>55</v>
      </c>
      <c r="Q15" s="22" t="s">
        <v>173</v>
      </c>
      <c r="R15" s="23" t="n">
        <f aca="false">P15*INDEX(MarkupVals,MATCH(Q15,MarkupCodes,0))</f>
        <v>100</v>
      </c>
      <c r="S15" s="24" t="n">
        <f aca="false">G15*R15</f>
        <v>0</v>
      </c>
      <c r="T15" s="25"/>
      <c r="U15" s="26" t="s">
        <v>210</v>
      </c>
    </row>
    <row r="16" customFormat="false" ht="15" hidden="false" customHeight="false" outlineLevel="0" collapsed="false">
      <c r="A16" s="18" t="n">
        <v>12</v>
      </c>
      <c r="B16" s="18" t="s">
        <v>206</v>
      </c>
      <c r="C16" s="18" t="s">
        <v>211</v>
      </c>
      <c r="D16" s="18" t="s">
        <v>208</v>
      </c>
      <c r="E16" s="18" t="s">
        <v>212</v>
      </c>
      <c r="F16" s="19" t="s">
        <v>213</v>
      </c>
      <c r="G16" s="20" t="n">
        <f aca="false">2*p_Addition_Site_Excavation</f>
        <v>0</v>
      </c>
      <c r="H16" s="21" t="n">
        <v>195</v>
      </c>
      <c r="I16" s="22" t="s">
        <v>166</v>
      </c>
      <c r="J16" s="23" t="n">
        <f aca="false">H16*INDEX(MarkupVals,MATCH(I16,MarkupCodes,0))</f>
        <v>282.75</v>
      </c>
      <c r="K16" s="24" t="n">
        <f aca="false">G16*J16</f>
        <v>0</v>
      </c>
      <c r="L16" s="21" t="n">
        <v>195</v>
      </c>
      <c r="M16" s="22" t="s">
        <v>166</v>
      </c>
      <c r="N16" s="23" t="n">
        <f aca="false">L16*INDEX(MarkupVals,MATCH(M16,MarkupCodes,0))</f>
        <v>282.75</v>
      </c>
      <c r="O16" s="24" t="n">
        <f aca="false">G16*N16</f>
        <v>0</v>
      </c>
      <c r="P16" s="21" t="n">
        <v>195</v>
      </c>
      <c r="Q16" s="22" t="s">
        <v>166</v>
      </c>
      <c r="R16" s="23" t="n">
        <f aca="false">P16*INDEX(MarkupVals,MATCH(Q16,MarkupCodes,0))</f>
        <v>282.75</v>
      </c>
      <c r="S16" s="24" t="n">
        <f aca="false">G16*R16</f>
        <v>0</v>
      </c>
      <c r="T16" s="25"/>
      <c r="U16" s="26"/>
    </row>
    <row r="17" customFormat="false" ht="15" hidden="false" customHeight="false" outlineLevel="0" collapsed="false">
      <c r="A17" s="18" t="n">
        <v>13</v>
      </c>
      <c r="B17" s="18" t="s">
        <v>214</v>
      </c>
      <c r="C17" s="18" t="s">
        <v>215</v>
      </c>
      <c r="D17" s="18" t="s">
        <v>216</v>
      </c>
      <c r="E17" s="18" t="s">
        <v>217</v>
      </c>
      <c r="F17" s="19" t="s">
        <v>218</v>
      </c>
      <c r="G17" s="20" t="n">
        <f aca="false">p_Addition_Crawl_Space*p_Addition_Width*p_Addition_Depth</f>
        <v>320</v>
      </c>
      <c r="H17" s="21" t="n">
        <v>18.07</v>
      </c>
      <c r="I17" s="22" t="s">
        <v>179</v>
      </c>
      <c r="J17" s="23" t="n">
        <f aca="false">H17*INDEX(MarkupVals,MATCH(I17,MarkupCodes,0))</f>
        <v>26.2015</v>
      </c>
      <c r="K17" s="24" t="n">
        <f aca="false">G17*J17</f>
        <v>8384.48</v>
      </c>
      <c r="L17" s="21" t="n">
        <v>18.07</v>
      </c>
      <c r="M17" s="22" t="s">
        <v>179</v>
      </c>
      <c r="N17" s="23" t="n">
        <f aca="false">L17*INDEX(MarkupVals,MATCH(M17,MarkupCodes,0))</f>
        <v>26.2015</v>
      </c>
      <c r="O17" s="24" t="n">
        <f aca="false">G17*N17</f>
        <v>8384.48</v>
      </c>
      <c r="P17" s="21" t="n">
        <v>18.07</v>
      </c>
      <c r="Q17" s="22" t="s">
        <v>179</v>
      </c>
      <c r="R17" s="23" t="n">
        <f aca="false">P17*INDEX(MarkupVals,MATCH(Q17,MarkupCodes,0))</f>
        <v>26.2015</v>
      </c>
      <c r="S17" s="24" t="n">
        <f aca="false">G17*R17</f>
        <v>8384.48</v>
      </c>
      <c r="T17" s="25"/>
      <c r="U17" s="26" t="s">
        <v>219</v>
      </c>
    </row>
    <row r="18" customFormat="false" ht="15" hidden="false" customHeight="false" outlineLevel="0" collapsed="false">
      <c r="A18" s="18" t="n">
        <v>14</v>
      </c>
      <c r="B18" s="18" t="s">
        <v>214</v>
      </c>
      <c r="C18" s="18" t="s">
        <v>220</v>
      </c>
      <c r="D18" s="18" t="s">
        <v>216</v>
      </c>
      <c r="E18" s="18" t="s">
        <v>217</v>
      </c>
      <c r="F18" s="19" t="s">
        <v>221</v>
      </c>
      <c r="G18" s="20" t="n">
        <f aca="false">p_Addition_Slab*p_Addition_Width*p_Addition_Depth</f>
        <v>0</v>
      </c>
      <c r="H18" s="21" t="n">
        <v>21</v>
      </c>
      <c r="I18" s="22" t="s">
        <v>179</v>
      </c>
      <c r="J18" s="23" t="n">
        <f aca="false">H18*INDEX(MarkupVals,MATCH(I18,MarkupCodes,0))</f>
        <v>30.45</v>
      </c>
      <c r="K18" s="24" t="n">
        <f aca="false">G18*J18</f>
        <v>0</v>
      </c>
      <c r="L18" s="21" t="n">
        <v>21</v>
      </c>
      <c r="M18" s="22" t="s">
        <v>179</v>
      </c>
      <c r="N18" s="23" t="n">
        <f aca="false">L18*INDEX(MarkupVals,MATCH(M18,MarkupCodes,0))</f>
        <v>30.45</v>
      </c>
      <c r="O18" s="24" t="n">
        <f aca="false">G18*N18</f>
        <v>0</v>
      </c>
      <c r="P18" s="21" t="n">
        <v>21</v>
      </c>
      <c r="Q18" s="22" t="s">
        <v>179</v>
      </c>
      <c r="R18" s="23" t="n">
        <f aca="false">P18*INDEX(MarkupVals,MATCH(Q18,MarkupCodes,0))</f>
        <v>30.45</v>
      </c>
      <c r="S18" s="24" t="n">
        <f aca="false">G18*R18</f>
        <v>0</v>
      </c>
      <c r="T18" s="25"/>
      <c r="U18" s="26" t="s">
        <v>222</v>
      </c>
    </row>
    <row r="19" customFormat="false" ht="15" hidden="false" customHeight="false" outlineLevel="0" collapsed="false">
      <c r="A19" s="18" t="n">
        <v>15</v>
      </c>
      <c r="B19" s="18" t="s">
        <v>214</v>
      </c>
      <c r="C19" s="18" t="s">
        <v>223</v>
      </c>
      <c r="D19" s="18" t="s">
        <v>216</v>
      </c>
      <c r="E19" s="18" t="s">
        <v>217</v>
      </c>
      <c r="F19" s="19" t="s">
        <v>224</v>
      </c>
      <c r="G19" s="20" t="n">
        <f aca="false">p_Addition_Basement*p_Addition_Width*p_Addition_Depth</f>
        <v>0</v>
      </c>
      <c r="H19" s="21" t="n">
        <v>33</v>
      </c>
      <c r="I19" s="22" t="s">
        <v>179</v>
      </c>
      <c r="J19" s="23" t="n">
        <f aca="false">H19*INDEX(MarkupVals,MATCH(I19,MarkupCodes,0))</f>
        <v>47.85</v>
      </c>
      <c r="K19" s="24" t="n">
        <f aca="false">G19*J19</f>
        <v>0</v>
      </c>
      <c r="L19" s="21" t="n">
        <v>33</v>
      </c>
      <c r="M19" s="22" t="s">
        <v>179</v>
      </c>
      <c r="N19" s="23" t="n">
        <f aca="false">L19*INDEX(MarkupVals,MATCH(M19,MarkupCodes,0))</f>
        <v>47.85</v>
      </c>
      <c r="O19" s="24" t="n">
        <f aca="false">G19*N19</f>
        <v>0</v>
      </c>
      <c r="P19" s="21" t="n">
        <v>33</v>
      </c>
      <c r="Q19" s="22" t="s">
        <v>179</v>
      </c>
      <c r="R19" s="23" t="n">
        <f aca="false">P19*INDEX(MarkupVals,MATCH(Q19,MarkupCodes,0))</f>
        <v>47.85</v>
      </c>
      <c r="S19" s="24" t="n">
        <f aca="false">G19*R19</f>
        <v>0</v>
      </c>
      <c r="T19" s="25"/>
      <c r="U19" s="26" t="s">
        <v>225</v>
      </c>
    </row>
    <row r="20" customFormat="false" ht="15" hidden="false" customHeight="false" outlineLevel="0" collapsed="false">
      <c r="A20" s="18" t="n">
        <v>16</v>
      </c>
      <c r="B20" s="18" t="s">
        <v>214</v>
      </c>
      <c r="C20" s="18" t="s">
        <v>226</v>
      </c>
      <c r="D20" s="18" t="s">
        <v>216</v>
      </c>
      <c r="E20" s="18" t="s">
        <v>177</v>
      </c>
      <c r="F20" s="19" t="s">
        <v>70</v>
      </c>
      <c r="G20" s="20" t="n">
        <f aca="false">p_Addition_Piers</f>
        <v>0</v>
      </c>
      <c r="H20" s="21" t="n">
        <v>500</v>
      </c>
      <c r="I20" s="22" t="s">
        <v>179</v>
      </c>
      <c r="J20" s="23" t="n">
        <f aca="false">H20*INDEX(MarkupVals,MATCH(I20,MarkupCodes,0))</f>
        <v>725</v>
      </c>
      <c r="K20" s="24" t="n">
        <f aca="false">G20*J20</f>
        <v>0</v>
      </c>
      <c r="L20" s="21" t="n">
        <v>500</v>
      </c>
      <c r="M20" s="22" t="s">
        <v>179</v>
      </c>
      <c r="N20" s="23" t="n">
        <f aca="false">L20*INDEX(MarkupVals,MATCH(M20,MarkupCodes,0))</f>
        <v>725</v>
      </c>
      <c r="O20" s="24" t="n">
        <f aca="false">G20*N20</f>
        <v>0</v>
      </c>
      <c r="P20" s="21" t="n">
        <v>500</v>
      </c>
      <c r="Q20" s="22" t="s">
        <v>179</v>
      </c>
      <c r="R20" s="23" t="n">
        <f aca="false">P20*INDEX(MarkupVals,MATCH(Q20,MarkupCodes,0))</f>
        <v>725</v>
      </c>
      <c r="S20" s="24" t="n">
        <f aca="false">G20*R20</f>
        <v>0</v>
      </c>
      <c r="T20" s="25"/>
      <c r="U20" s="26" t="s">
        <v>227</v>
      </c>
    </row>
    <row r="21" customFormat="false" ht="15" hidden="false" customHeight="false" outlineLevel="0" collapsed="false">
      <c r="A21" s="18" t="n">
        <v>17</v>
      </c>
      <c r="B21" s="18" t="s">
        <v>214</v>
      </c>
      <c r="C21" s="18" t="s">
        <v>228</v>
      </c>
      <c r="D21" s="18" t="s">
        <v>216</v>
      </c>
      <c r="E21" s="18" t="s">
        <v>171</v>
      </c>
      <c r="F21" s="19" t="s">
        <v>229</v>
      </c>
      <c r="G21" s="20" t="n">
        <f aca="false">3*p_Addition_Piers</f>
        <v>0</v>
      </c>
      <c r="H21" s="23" t="n">
        <f aca="false">LaborCost</f>
        <v>55</v>
      </c>
      <c r="I21" s="22" t="s">
        <v>173</v>
      </c>
      <c r="J21" s="23" t="n">
        <f aca="false">H21*INDEX(MarkupVals,MATCH(I21,MarkupCodes,0))</f>
        <v>100</v>
      </c>
      <c r="K21" s="24" t="n">
        <f aca="false">G21*J21</f>
        <v>0</v>
      </c>
      <c r="L21" s="23" t="n">
        <f aca="false">LaborCost</f>
        <v>55</v>
      </c>
      <c r="M21" s="22" t="s">
        <v>173</v>
      </c>
      <c r="N21" s="23" t="n">
        <f aca="false">L21*INDEX(MarkupVals,MATCH(M21,MarkupCodes,0))</f>
        <v>100</v>
      </c>
      <c r="O21" s="24" t="n">
        <f aca="false">G21*N21</f>
        <v>0</v>
      </c>
      <c r="P21" s="23" t="n">
        <f aca="false">LaborCost</f>
        <v>55</v>
      </c>
      <c r="Q21" s="22" t="s">
        <v>173</v>
      </c>
      <c r="R21" s="23" t="n">
        <f aca="false">P21*INDEX(MarkupVals,MATCH(Q21,MarkupCodes,0))</f>
        <v>100</v>
      </c>
      <c r="S21" s="24" t="n">
        <f aca="false">G21*R21</f>
        <v>0</v>
      </c>
      <c r="T21" s="25"/>
      <c r="U21" s="26"/>
    </row>
    <row r="22" customFormat="false" ht="15" hidden="false" customHeight="false" outlineLevel="0" collapsed="false">
      <c r="A22" s="18" t="n">
        <v>18</v>
      </c>
      <c r="B22" s="18" t="s">
        <v>230</v>
      </c>
      <c r="C22" s="18" t="s">
        <v>231</v>
      </c>
      <c r="D22" s="18" t="s">
        <v>232</v>
      </c>
      <c r="E22" s="18" t="s">
        <v>217</v>
      </c>
      <c r="F22" s="19" t="s">
        <v>233</v>
      </c>
      <c r="G22" s="20" t="n">
        <f aca="false">p_Addition_Width*p_Addition_Depth*p_Addition_Stories</f>
        <v>320</v>
      </c>
      <c r="H22" s="21" t="n">
        <v>22.5</v>
      </c>
      <c r="I22" s="22" t="s">
        <v>179</v>
      </c>
      <c r="J22" s="23" t="n">
        <f aca="false">H22*INDEX(MarkupVals,MATCH(I22,MarkupCodes,0))</f>
        <v>32.625</v>
      </c>
      <c r="K22" s="24" t="n">
        <f aca="false">G22*J22</f>
        <v>10440</v>
      </c>
      <c r="L22" s="21" t="n">
        <v>22.5</v>
      </c>
      <c r="M22" s="22" t="s">
        <v>179</v>
      </c>
      <c r="N22" s="23" t="n">
        <f aca="false">L22*INDEX(MarkupVals,MATCH(M22,MarkupCodes,0))</f>
        <v>32.625</v>
      </c>
      <c r="O22" s="24" t="n">
        <f aca="false">G22*N22</f>
        <v>10440</v>
      </c>
      <c r="P22" s="21" t="n">
        <v>22.5</v>
      </c>
      <c r="Q22" s="22" t="s">
        <v>179</v>
      </c>
      <c r="R22" s="23" t="n">
        <f aca="false">P22*INDEX(MarkupVals,MATCH(Q22,MarkupCodes,0))</f>
        <v>32.625</v>
      </c>
      <c r="S22" s="24" t="n">
        <f aca="false">G22*R22</f>
        <v>10440</v>
      </c>
      <c r="T22" s="25"/>
      <c r="U22" s="26" t="s">
        <v>234</v>
      </c>
    </row>
    <row r="23" customFormat="false" ht="15" hidden="false" customHeight="false" outlineLevel="0" collapsed="false">
      <c r="A23" s="18" t="n">
        <v>19</v>
      </c>
      <c r="B23" s="18" t="s">
        <v>230</v>
      </c>
      <c r="C23" s="18" t="s">
        <v>235</v>
      </c>
      <c r="D23" s="18" t="s">
        <v>232</v>
      </c>
      <c r="E23" s="18" t="s">
        <v>177</v>
      </c>
      <c r="F23" s="19" t="s">
        <v>108</v>
      </c>
      <c r="G23" s="20" t="n">
        <f aca="false">p_Addition_Wall_Openings</f>
        <v>1</v>
      </c>
      <c r="H23" s="21" t="n">
        <v>400</v>
      </c>
      <c r="I23" s="22" t="s">
        <v>179</v>
      </c>
      <c r="J23" s="23" t="n">
        <f aca="false">H23*INDEX(MarkupVals,MATCH(I23,MarkupCodes,0))</f>
        <v>580</v>
      </c>
      <c r="K23" s="24" t="n">
        <f aca="false">G23*J23</f>
        <v>580</v>
      </c>
      <c r="L23" s="21" t="n">
        <v>400</v>
      </c>
      <c r="M23" s="22" t="s">
        <v>179</v>
      </c>
      <c r="N23" s="23" t="n">
        <f aca="false">L23*INDEX(MarkupVals,MATCH(M23,MarkupCodes,0))</f>
        <v>580</v>
      </c>
      <c r="O23" s="24" t="n">
        <f aca="false">G23*N23</f>
        <v>580</v>
      </c>
      <c r="P23" s="21" t="n">
        <v>400</v>
      </c>
      <c r="Q23" s="22" t="s">
        <v>179</v>
      </c>
      <c r="R23" s="23" t="n">
        <f aca="false">P23*INDEX(MarkupVals,MATCH(Q23,MarkupCodes,0))</f>
        <v>580</v>
      </c>
      <c r="S23" s="24" t="n">
        <f aca="false">G23*R23</f>
        <v>580</v>
      </c>
      <c r="T23" s="25"/>
      <c r="U23" s="26"/>
    </row>
    <row r="24" customFormat="false" ht="15" hidden="false" customHeight="false" outlineLevel="0" collapsed="false">
      <c r="A24" s="18" t="n">
        <v>20</v>
      </c>
      <c r="B24" s="18" t="s">
        <v>230</v>
      </c>
      <c r="C24" s="18" t="s">
        <v>236</v>
      </c>
      <c r="D24" s="18" t="s">
        <v>237</v>
      </c>
      <c r="E24" s="18" t="s">
        <v>171</v>
      </c>
      <c r="F24" s="19" t="s">
        <v>238</v>
      </c>
      <c r="G24" s="20" t="n">
        <f aca="false">ROUNDUP(p_Addition_Width*p_Addition_Depth*p_Addition_Stories/6,0) + 8*p_Addition_Wall_Openings + 8*p_Addition_Roof_Tie_In</f>
        <v>70</v>
      </c>
      <c r="H24" s="23" t="n">
        <f aca="false">LaborCost</f>
        <v>55</v>
      </c>
      <c r="I24" s="22" t="s">
        <v>173</v>
      </c>
      <c r="J24" s="23" t="n">
        <f aca="false">H24*INDEX(MarkupVals,MATCH(I24,MarkupCodes,0))</f>
        <v>100</v>
      </c>
      <c r="K24" s="24" t="n">
        <f aca="false">G24*J24</f>
        <v>7000</v>
      </c>
      <c r="L24" s="23" t="n">
        <f aca="false">LaborCost</f>
        <v>55</v>
      </c>
      <c r="M24" s="22" t="s">
        <v>173</v>
      </c>
      <c r="N24" s="23" t="n">
        <f aca="false">L24*INDEX(MarkupVals,MATCH(M24,MarkupCodes,0))</f>
        <v>100</v>
      </c>
      <c r="O24" s="24" t="n">
        <f aca="false">G24*N24</f>
        <v>7000</v>
      </c>
      <c r="P24" s="23" t="n">
        <f aca="false">LaborCost</f>
        <v>55</v>
      </c>
      <c r="Q24" s="22" t="s">
        <v>173</v>
      </c>
      <c r="R24" s="23" t="n">
        <f aca="false">P24*INDEX(MarkupVals,MATCH(Q24,MarkupCodes,0))</f>
        <v>100</v>
      </c>
      <c r="S24" s="24" t="n">
        <f aca="false">G24*R24</f>
        <v>7000</v>
      </c>
      <c r="T24" s="25"/>
      <c r="U24" s="26" t="s">
        <v>239</v>
      </c>
    </row>
    <row r="25" customFormat="false" ht="15" hidden="false" customHeight="false" outlineLevel="0" collapsed="false">
      <c r="A25" s="18" t="n">
        <v>21</v>
      </c>
      <c r="B25" s="18" t="s">
        <v>240</v>
      </c>
      <c r="C25" s="18" t="s">
        <v>241</v>
      </c>
      <c r="D25" s="18" t="s">
        <v>242</v>
      </c>
      <c r="E25" s="18" t="s">
        <v>204</v>
      </c>
      <c r="F25" s="19" t="s">
        <v>243</v>
      </c>
      <c r="G25" s="20" t="n">
        <f aca="false">p_Addition_Width + p_Addition_Depth + 20</f>
        <v>56</v>
      </c>
      <c r="H25" s="21" t="n">
        <v>8.25</v>
      </c>
      <c r="I25" s="22" t="s">
        <v>179</v>
      </c>
      <c r="J25" s="23" t="n">
        <f aca="false">H25*INDEX(MarkupVals,MATCH(I25,MarkupCodes,0))</f>
        <v>11.9625</v>
      </c>
      <c r="K25" s="24" t="n">
        <f aca="false">G25*J25</f>
        <v>669.9</v>
      </c>
      <c r="L25" s="21" t="n">
        <v>8.25</v>
      </c>
      <c r="M25" s="22" t="s">
        <v>179</v>
      </c>
      <c r="N25" s="23" t="n">
        <f aca="false">L25*INDEX(MarkupVals,MATCH(M25,MarkupCodes,0))</f>
        <v>11.9625</v>
      </c>
      <c r="O25" s="24" t="n">
        <f aca="false">G25*N25</f>
        <v>669.9</v>
      </c>
      <c r="P25" s="21" t="n">
        <v>8.25</v>
      </c>
      <c r="Q25" s="22" t="s">
        <v>179</v>
      </c>
      <c r="R25" s="23" t="n">
        <f aca="false">P25*INDEX(MarkupVals,MATCH(Q25,MarkupCodes,0))</f>
        <v>11.9625</v>
      </c>
      <c r="S25" s="24" t="n">
        <f aca="false">G25*R25</f>
        <v>669.9</v>
      </c>
      <c r="T25" s="25"/>
      <c r="U25" s="26" t="s">
        <v>244</v>
      </c>
    </row>
    <row r="26" customFormat="false" ht="15" hidden="false" customHeight="false" outlineLevel="0" collapsed="false">
      <c r="A26" s="18" t="n">
        <v>22</v>
      </c>
      <c r="B26" s="18" t="s">
        <v>240</v>
      </c>
      <c r="C26" s="18" t="s">
        <v>245</v>
      </c>
      <c r="D26" s="18" t="s">
        <v>242</v>
      </c>
      <c r="E26" s="18" t="s">
        <v>204</v>
      </c>
      <c r="F26" s="19" t="s">
        <v>243</v>
      </c>
      <c r="G26" s="20" t="n">
        <f aca="false">p_Addition_Width + p_Addition_Depth + 20</f>
        <v>56</v>
      </c>
      <c r="H26" s="21" t="n">
        <v>3.5</v>
      </c>
      <c r="I26" s="22" t="s">
        <v>246</v>
      </c>
      <c r="J26" s="23" t="n">
        <f aca="false">H26*INDEX(MarkupVals,MATCH(I26,MarkupCodes,0))</f>
        <v>5.075</v>
      </c>
      <c r="K26" s="24" t="n">
        <f aca="false">G26*J26</f>
        <v>284.2</v>
      </c>
      <c r="L26" s="21" t="n">
        <v>3.5</v>
      </c>
      <c r="M26" s="22" t="s">
        <v>246</v>
      </c>
      <c r="N26" s="23" t="n">
        <f aca="false">L26*INDEX(MarkupVals,MATCH(M26,MarkupCodes,0))</f>
        <v>5.075</v>
      </c>
      <c r="O26" s="24" t="n">
        <f aca="false">G26*N26</f>
        <v>284.2</v>
      </c>
      <c r="P26" s="21" t="n">
        <v>3.5</v>
      </c>
      <c r="Q26" s="22" t="s">
        <v>246</v>
      </c>
      <c r="R26" s="23" t="n">
        <f aca="false">P26*INDEX(MarkupVals,MATCH(Q26,MarkupCodes,0))</f>
        <v>5.075</v>
      </c>
      <c r="S26" s="24" t="n">
        <f aca="false">G26*R26</f>
        <v>284.2</v>
      </c>
      <c r="T26" s="25"/>
      <c r="U26" s="26"/>
    </row>
    <row r="27" customFormat="false" ht="15" hidden="false" customHeight="false" outlineLevel="0" collapsed="false">
      <c r="A27" s="18" t="n">
        <v>23</v>
      </c>
      <c r="B27" s="18" t="s">
        <v>247</v>
      </c>
      <c r="C27" s="18" t="s">
        <v>248</v>
      </c>
      <c r="D27" s="18" t="s">
        <v>249</v>
      </c>
      <c r="E27" s="18" t="s">
        <v>204</v>
      </c>
      <c r="F27" s="19" t="s">
        <v>250</v>
      </c>
      <c r="G27" s="20" t="n">
        <f aca="false">(p_Addition_Width + 2*p_Addition_Depth + p_Addition_Detached*p_Addition_Width)</f>
        <v>52</v>
      </c>
      <c r="H27" s="21" t="n">
        <v>8</v>
      </c>
      <c r="I27" s="22" t="s">
        <v>179</v>
      </c>
      <c r="J27" s="23" t="n">
        <f aca="false">H27*INDEX(MarkupVals,MATCH(I27,MarkupCodes,0))</f>
        <v>11.6</v>
      </c>
      <c r="K27" s="24" t="n">
        <f aca="false">G27*J27</f>
        <v>603.2</v>
      </c>
      <c r="L27" s="21" t="n">
        <v>8</v>
      </c>
      <c r="M27" s="22" t="s">
        <v>179</v>
      </c>
      <c r="N27" s="23" t="n">
        <f aca="false">L27*INDEX(MarkupVals,MATCH(M27,MarkupCodes,0))</f>
        <v>11.6</v>
      </c>
      <c r="O27" s="24" t="n">
        <f aca="false">G27*N27</f>
        <v>603.2</v>
      </c>
      <c r="P27" s="21" t="n">
        <v>8</v>
      </c>
      <c r="Q27" s="22" t="s">
        <v>179</v>
      </c>
      <c r="R27" s="23" t="n">
        <f aca="false">P27*INDEX(MarkupVals,MATCH(Q27,MarkupCodes,0))</f>
        <v>11.6</v>
      </c>
      <c r="S27" s="24" t="n">
        <f aca="false">G27*R27</f>
        <v>603.2</v>
      </c>
      <c r="T27" s="25"/>
      <c r="U27" s="26"/>
    </row>
    <row r="28" customFormat="false" ht="15" hidden="false" customHeight="false" outlineLevel="0" collapsed="false">
      <c r="A28" s="18" t="n">
        <v>24</v>
      </c>
      <c r="B28" s="18" t="s">
        <v>247</v>
      </c>
      <c r="C28" s="18" t="s">
        <v>251</v>
      </c>
      <c r="D28" s="18" t="s">
        <v>249</v>
      </c>
      <c r="E28" s="18" t="s">
        <v>204</v>
      </c>
      <c r="F28" s="19" t="s">
        <v>250</v>
      </c>
      <c r="G28" s="20" t="n">
        <f aca="false">(p_Addition_Width + 2*p_Addition_Depth + p_Addition_Detached*p_Addition_Width)</f>
        <v>52</v>
      </c>
      <c r="H28" s="21" t="n">
        <v>4.5</v>
      </c>
      <c r="I28" s="22" t="s">
        <v>252</v>
      </c>
      <c r="J28" s="23" t="n">
        <f aca="false">H28*INDEX(MarkupVals,MATCH(I28,MarkupCodes,0))</f>
        <v>5.85</v>
      </c>
      <c r="K28" s="24" t="n">
        <f aca="false">G28*J28</f>
        <v>304.2</v>
      </c>
      <c r="L28" s="21" t="n">
        <v>4.5</v>
      </c>
      <c r="M28" s="22" t="s">
        <v>252</v>
      </c>
      <c r="N28" s="23" t="n">
        <f aca="false">L28*INDEX(MarkupVals,MATCH(M28,MarkupCodes,0))</f>
        <v>5.85</v>
      </c>
      <c r="O28" s="24" t="n">
        <f aca="false">G28*N28</f>
        <v>304.2</v>
      </c>
      <c r="P28" s="21" t="n">
        <v>4.5</v>
      </c>
      <c r="Q28" s="22" t="s">
        <v>252</v>
      </c>
      <c r="R28" s="23" t="n">
        <f aca="false">P28*INDEX(MarkupVals,MATCH(Q28,MarkupCodes,0))</f>
        <v>5.85</v>
      </c>
      <c r="S28" s="24" t="n">
        <f aca="false">G28*R28</f>
        <v>304.2</v>
      </c>
      <c r="T28" s="25"/>
      <c r="U28" s="26"/>
    </row>
    <row r="29" customFormat="false" ht="15" hidden="false" customHeight="false" outlineLevel="0" collapsed="false">
      <c r="A29" s="18" t="n">
        <v>25</v>
      </c>
      <c r="B29" s="18" t="s">
        <v>247</v>
      </c>
      <c r="C29" s="18" t="s">
        <v>253</v>
      </c>
      <c r="D29" s="18" t="s">
        <v>249</v>
      </c>
      <c r="E29" s="18" t="s">
        <v>171</v>
      </c>
      <c r="F29" s="19" t="s">
        <v>254</v>
      </c>
      <c r="G29" s="20" t="n">
        <f aca="false">ROUNDUP((p_Addition_Width + 2*p_Addition_Depth + p_Addition_Detached*p_Addition_Width)*p_Addition_Wall_Height*p_Addition_Stories*1.15/100,0) + p_Addition_Extra_Siding_Squares</f>
        <v>5</v>
      </c>
      <c r="H29" s="23" t="n">
        <f aca="false">LaborCost</f>
        <v>55</v>
      </c>
      <c r="I29" s="22" t="s">
        <v>173</v>
      </c>
      <c r="J29" s="23" t="n">
        <f aca="false">H29*INDEX(MarkupVals,MATCH(I29,MarkupCodes,0))</f>
        <v>100</v>
      </c>
      <c r="K29" s="24" t="n">
        <f aca="false">G29*J29</f>
        <v>500</v>
      </c>
      <c r="L29" s="23" t="n">
        <f aca="false">LaborCost</f>
        <v>55</v>
      </c>
      <c r="M29" s="22" t="s">
        <v>173</v>
      </c>
      <c r="N29" s="23" t="n">
        <f aca="false">L29*INDEX(MarkupVals,MATCH(M29,MarkupCodes,0))</f>
        <v>100</v>
      </c>
      <c r="O29" s="24" t="n">
        <f aca="false">G29*N29</f>
        <v>500</v>
      </c>
      <c r="P29" s="23" t="n">
        <f aca="false">LaborCost</f>
        <v>55</v>
      </c>
      <c r="Q29" s="22" t="s">
        <v>173</v>
      </c>
      <c r="R29" s="23" t="n">
        <f aca="false">P29*INDEX(MarkupVals,MATCH(Q29,MarkupCodes,0))</f>
        <v>100</v>
      </c>
      <c r="S29" s="24" t="n">
        <f aca="false">G29*R29</f>
        <v>500</v>
      </c>
      <c r="T29" s="25"/>
      <c r="U29" s="26" t="s">
        <v>255</v>
      </c>
    </row>
    <row r="30" customFormat="false" ht="15" hidden="false" customHeight="false" outlineLevel="0" collapsed="false">
      <c r="A30" s="18" t="n">
        <v>26</v>
      </c>
      <c r="B30" s="18" t="s">
        <v>247</v>
      </c>
      <c r="C30" s="18" t="s">
        <v>256</v>
      </c>
      <c r="D30" s="18" t="s">
        <v>249</v>
      </c>
      <c r="E30" s="18" t="s">
        <v>257</v>
      </c>
      <c r="F30" s="19" t="s">
        <v>254</v>
      </c>
      <c r="G30" s="20" t="n">
        <f aca="false">ROUNDUP((p_Addition_Width + 2*p_Addition_Depth + p_Addition_Detached*p_Addition_Width)*p_Addition_Wall_Height*p_Addition_Stories*1.15/100,0) + p_Addition_Extra_Siding_Squares</f>
        <v>5</v>
      </c>
      <c r="H30" s="21" t="n">
        <v>160</v>
      </c>
      <c r="I30" s="22" t="s">
        <v>246</v>
      </c>
      <c r="J30" s="23" t="n">
        <f aca="false">H30*INDEX(MarkupVals,MATCH(I30,MarkupCodes,0))</f>
        <v>232</v>
      </c>
      <c r="K30" s="24" t="n">
        <f aca="false">G30*J30</f>
        <v>1160</v>
      </c>
      <c r="L30" s="21" t="n">
        <v>160</v>
      </c>
      <c r="M30" s="22" t="s">
        <v>246</v>
      </c>
      <c r="N30" s="23" t="n">
        <f aca="false">L30*INDEX(MarkupVals,MATCH(M30,MarkupCodes,0))</f>
        <v>232</v>
      </c>
      <c r="O30" s="24" t="n">
        <f aca="false">G30*N30</f>
        <v>1160</v>
      </c>
      <c r="P30" s="21" t="n">
        <v>160</v>
      </c>
      <c r="Q30" s="22" t="s">
        <v>246</v>
      </c>
      <c r="R30" s="23" t="n">
        <f aca="false">P30*INDEX(MarkupVals,MATCH(Q30,MarkupCodes,0))</f>
        <v>232</v>
      </c>
      <c r="S30" s="24" t="n">
        <f aca="false">G30*R30</f>
        <v>1160</v>
      </c>
      <c r="T30" s="25"/>
      <c r="U30" s="26" t="s">
        <v>258</v>
      </c>
    </row>
    <row r="31" customFormat="false" ht="15" hidden="false" customHeight="false" outlineLevel="0" collapsed="false">
      <c r="A31" s="18" t="n">
        <v>27</v>
      </c>
      <c r="B31" s="18" t="s">
        <v>247</v>
      </c>
      <c r="C31" s="18" t="s">
        <v>259</v>
      </c>
      <c r="D31" s="18" t="s">
        <v>249</v>
      </c>
      <c r="E31" s="18" t="s">
        <v>177</v>
      </c>
      <c r="F31" s="19" t="s">
        <v>260</v>
      </c>
      <c r="G31" s="20" t="n">
        <f aca="false">2*(1 - p_Addition_Detached)</f>
        <v>2</v>
      </c>
      <c r="H31" s="21" t="n">
        <v>150</v>
      </c>
      <c r="I31" s="22" t="s">
        <v>246</v>
      </c>
      <c r="J31" s="23" t="n">
        <f aca="false">H31*INDEX(MarkupVals,MATCH(I31,MarkupCodes,0))</f>
        <v>217.5</v>
      </c>
      <c r="K31" s="24" t="n">
        <f aca="false">G31*J31</f>
        <v>435</v>
      </c>
      <c r="L31" s="21" t="n">
        <v>150</v>
      </c>
      <c r="M31" s="22" t="s">
        <v>246</v>
      </c>
      <c r="N31" s="23" t="n">
        <f aca="false">L31*INDEX(MarkupVals,MATCH(M31,MarkupCodes,0))</f>
        <v>217.5</v>
      </c>
      <c r="O31" s="24" t="n">
        <f aca="false">G31*N31</f>
        <v>435</v>
      </c>
      <c r="P31" s="21" t="n">
        <v>150</v>
      </c>
      <c r="Q31" s="22" t="s">
        <v>246</v>
      </c>
      <c r="R31" s="23" t="n">
        <f aca="false">P31*INDEX(MarkupVals,MATCH(Q31,MarkupCodes,0))</f>
        <v>217.5</v>
      </c>
      <c r="S31" s="24" t="n">
        <f aca="false">G31*R31</f>
        <v>435</v>
      </c>
      <c r="T31" s="25"/>
      <c r="U31" s="26"/>
    </row>
    <row r="32" customFormat="false" ht="15" hidden="false" customHeight="false" outlineLevel="0" collapsed="false">
      <c r="A32" s="18" t="n">
        <v>28</v>
      </c>
      <c r="B32" s="18" t="s">
        <v>261</v>
      </c>
      <c r="C32" s="18" t="s">
        <v>262</v>
      </c>
      <c r="D32" s="18" t="s">
        <v>263</v>
      </c>
      <c r="E32" s="18" t="s">
        <v>171</v>
      </c>
      <c r="F32" s="19" t="s">
        <v>264</v>
      </c>
      <c r="G32" s="20" t="n">
        <f aca="false">ROUNDUP(2.5*p_Addition_Windows,0)</f>
        <v>10</v>
      </c>
      <c r="H32" s="23" t="n">
        <f aca="false">LaborCost</f>
        <v>55</v>
      </c>
      <c r="I32" s="22" t="s">
        <v>173</v>
      </c>
      <c r="J32" s="23" t="n">
        <f aca="false">H32*INDEX(MarkupVals,MATCH(I32,MarkupCodes,0))</f>
        <v>100</v>
      </c>
      <c r="K32" s="24" t="n">
        <f aca="false">G32*J32</f>
        <v>1000</v>
      </c>
      <c r="L32" s="23" t="n">
        <f aca="false">LaborCost</f>
        <v>55</v>
      </c>
      <c r="M32" s="22" t="s">
        <v>173</v>
      </c>
      <c r="N32" s="23" t="n">
        <f aca="false">L32*INDEX(MarkupVals,MATCH(M32,MarkupCodes,0))</f>
        <v>100</v>
      </c>
      <c r="O32" s="24" t="n">
        <f aca="false">G32*N32</f>
        <v>1000</v>
      </c>
      <c r="P32" s="23" t="n">
        <f aca="false">LaborCost</f>
        <v>55</v>
      </c>
      <c r="Q32" s="22" t="s">
        <v>173</v>
      </c>
      <c r="R32" s="23" t="n">
        <f aca="false">P32*INDEX(MarkupVals,MATCH(Q32,MarkupCodes,0))</f>
        <v>100</v>
      </c>
      <c r="S32" s="24" t="n">
        <f aca="false">G32*R32</f>
        <v>1000</v>
      </c>
      <c r="T32" s="25"/>
      <c r="U32" s="26"/>
    </row>
    <row r="33" customFormat="false" ht="15" hidden="false" customHeight="false" outlineLevel="0" collapsed="false">
      <c r="A33" s="18" t="n">
        <v>29</v>
      </c>
      <c r="B33" s="18" t="s">
        <v>261</v>
      </c>
      <c r="C33" s="18" t="s">
        <v>265</v>
      </c>
      <c r="D33" s="18" t="s">
        <v>266</v>
      </c>
      <c r="E33" s="18" t="s">
        <v>177</v>
      </c>
      <c r="F33" s="19" t="s">
        <v>96</v>
      </c>
      <c r="G33" s="20" t="n">
        <f aca="false">p_Addition_Exterior_Doors</f>
        <v>0</v>
      </c>
      <c r="H33" s="21" t="n">
        <v>1230</v>
      </c>
      <c r="I33" s="22" t="s">
        <v>179</v>
      </c>
      <c r="J33" s="23" t="n">
        <f aca="false">H33*INDEX(MarkupVals,MATCH(I33,MarkupCodes,0))</f>
        <v>1783.5</v>
      </c>
      <c r="K33" s="24" t="n">
        <f aca="false">G33*J33</f>
        <v>0</v>
      </c>
      <c r="L33" s="21" t="n">
        <v>1230</v>
      </c>
      <c r="M33" s="22" t="s">
        <v>179</v>
      </c>
      <c r="N33" s="23" t="n">
        <f aca="false">L33*INDEX(MarkupVals,MATCH(M33,MarkupCodes,0))</f>
        <v>1783.5</v>
      </c>
      <c r="O33" s="24" t="n">
        <f aca="false">G33*N33</f>
        <v>0</v>
      </c>
      <c r="P33" s="21" t="n">
        <v>1230</v>
      </c>
      <c r="Q33" s="22" t="s">
        <v>179</v>
      </c>
      <c r="R33" s="23" t="n">
        <f aca="false">P33*INDEX(MarkupVals,MATCH(Q33,MarkupCodes,0))</f>
        <v>1783.5</v>
      </c>
      <c r="S33" s="24" t="n">
        <f aca="false">G33*R33</f>
        <v>0</v>
      </c>
      <c r="T33" s="25"/>
      <c r="U33" s="26" t="s">
        <v>267</v>
      </c>
    </row>
    <row r="34" customFormat="false" ht="15" hidden="false" customHeight="false" outlineLevel="0" collapsed="false">
      <c r="A34" s="18" t="n">
        <v>30</v>
      </c>
      <c r="B34" s="18" t="s">
        <v>261</v>
      </c>
      <c r="C34" s="18" t="s">
        <v>268</v>
      </c>
      <c r="D34" s="18" t="s">
        <v>266</v>
      </c>
      <c r="E34" s="18" t="s">
        <v>177</v>
      </c>
      <c r="F34" s="19" t="s">
        <v>102</v>
      </c>
      <c r="G34" s="20" t="n">
        <f aca="false">p_Addition_Garage_Doors</f>
        <v>0</v>
      </c>
      <c r="H34" s="21" t="n">
        <v>1300</v>
      </c>
      <c r="I34" s="22" t="s">
        <v>252</v>
      </c>
      <c r="J34" s="23" t="n">
        <f aca="false">H34*INDEX(MarkupVals,MATCH(I34,MarkupCodes,0))</f>
        <v>1690</v>
      </c>
      <c r="K34" s="24" t="n">
        <f aca="false">G34*J34</f>
        <v>0</v>
      </c>
      <c r="L34" s="21" t="n">
        <v>1300</v>
      </c>
      <c r="M34" s="22" t="s">
        <v>252</v>
      </c>
      <c r="N34" s="23" t="n">
        <f aca="false">L34*INDEX(MarkupVals,MATCH(M34,MarkupCodes,0))</f>
        <v>1690</v>
      </c>
      <c r="O34" s="24" t="n">
        <f aca="false">G34*N34</f>
        <v>0</v>
      </c>
      <c r="P34" s="21" t="n">
        <v>1300</v>
      </c>
      <c r="Q34" s="22" t="s">
        <v>252</v>
      </c>
      <c r="R34" s="23" t="n">
        <f aca="false">P34*INDEX(MarkupVals,MATCH(Q34,MarkupCodes,0))</f>
        <v>1690</v>
      </c>
      <c r="S34" s="24" t="n">
        <f aca="false">G34*R34</f>
        <v>0</v>
      </c>
      <c r="T34" s="25"/>
      <c r="U34" s="26" t="s">
        <v>269</v>
      </c>
    </row>
    <row r="35" customFormat="false" ht="15" hidden="false" customHeight="false" outlineLevel="0" collapsed="false">
      <c r="A35" s="18" t="n">
        <v>31</v>
      </c>
      <c r="B35" s="18" t="s">
        <v>261</v>
      </c>
      <c r="C35" s="18" t="s">
        <v>270</v>
      </c>
      <c r="D35" s="18" t="s">
        <v>266</v>
      </c>
      <c r="E35" s="18" t="s">
        <v>177</v>
      </c>
      <c r="F35" s="19" t="s">
        <v>102</v>
      </c>
      <c r="G35" s="20" t="n">
        <f aca="false">p_Addition_Garage_Doors</f>
        <v>0</v>
      </c>
      <c r="H35" s="21" t="n">
        <v>105</v>
      </c>
      <c r="I35" s="22" t="s">
        <v>246</v>
      </c>
      <c r="J35" s="23" t="n">
        <f aca="false">H35*INDEX(MarkupVals,MATCH(I35,MarkupCodes,0))</f>
        <v>152.25</v>
      </c>
      <c r="K35" s="24" t="n">
        <f aca="false">G35*J35</f>
        <v>0</v>
      </c>
      <c r="L35" s="21" t="n">
        <v>105</v>
      </c>
      <c r="M35" s="22" t="s">
        <v>246</v>
      </c>
      <c r="N35" s="23" t="n">
        <f aca="false">L35*INDEX(MarkupVals,MATCH(M35,MarkupCodes,0))</f>
        <v>152.25</v>
      </c>
      <c r="O35" s="24" t="n">
        <f aca="false">G35*N35</f>
        <v>0</v>
      </c>
      <c r="P35" s="21" t="n">
        <v>105</v>
      </c>
      <c r="Q35" s="22" t="s">
        <v>246</v>
      </c>
      <c r="R35" s="23" t="n">
        <f aca="false">P35*INDEX(MarkupVals,MATCH(Q35,MarkupCodes,0))</f>
        <v>152.25</v>
      </c>
      <c r="S35" s="24" t="n">
        <f aca="false">G35*R35</f>
        <v>0</v>
      </c>
      <c r="T35" s="25"/>
      <c r="U35" s="26"/>
    </row>
    <row r="36" customFormat="false" ht="15" hidden="false" customHeight="false" outlineLevel="0" collapsed="false">
      <c r="A36" s="18" t="n">
        <v>32</v>
      </c>
      <c r="B36" s="18" t="s">
        <v>261</v>
      </c>
      <c r="C36" s="18" t="s">
        <v>271</v>
      </c>
      <c r="D36" s="18" t="s">
        <v>266</v>
      </c>
      <c r="E36" s="18" t="s">
        <v>171</v>
      </c>
      <c r="F36" s="19" t="s">
        <v>272</v>
      </c>
      <c r="G36" s="20" t="n">
        <f aca="false">8*p_Addition_Exterior_Doors + 8*p_Addition_Patio_Doors + 3*p_Addition_Interior_Doors</f>
        <v>8</v>
      </c>
      <c r="H36" s="23" t="n">
        <f aca="false">LaborCost</f>
        <v>55</v>
      </c>
      <c r="I36" s="22" t="s">
        <v>173</v>
      </c>
      <c r="J36" s="23" t="n">
        <f aca="false">H36*INDEX(MarkupVals,MATCH(I36,MarkupCodes,0))</f>
        <v>100</v>
      </c>
      <c r="K36" s="24" t="n">
        <f aca="false">G36*J36</f>
        <v>800</v>
      </c>
      <c r="L36" s="23" t="n">
        <f aca="false">LaborCost</f>
        <v>55</v>
      </c>
      <c r="M36" s="22" t="s">
        <v>173</v>
      </c>
      <c r="N36" s="23" t="n">
        <f aca="false">L36*INDEX(MarkupVals,MATCH(M36,MarkupCodes,0))</f>
        <v>100</v>
      </c>
      <c r="O36" s="24" t="n">
        <f aca="false">G36*N36</f>
        <v>800</v>
      </c>
      <c r="P36" s="23" t="n">
        <f aca="false">LaborCost</f>
        <v>55</v>
      </c>
      <c r="Q36" s="22" t="s">
        <v>173</v>
      </c>
      <c r="R36" s="23" t="n">
        <f aca="false">P36*INDEX(MarkupVals,MATCH(Q36,MarkupCodes,0))</f>
        <v>100</v>
      </c>
      <c r="S36" s="24" t="n">
        <f aca="false">G36*R36</f>
        <v>800</v>
      </c>
      <c r="T36" s="25"/>
      <c r="U36" s="26"/>
    </row>
    <row r="37" customFormat="false" ht="15" hidden="false" customHeight="false" outlineLevel="0" collapsed="false">
      <c r="A37" s="18" t="n">
        <v>33</v>
      </c>
      <c r="B37" s="18" t="s">
        <v>273</v>
      </c>
      <c r="C37" s="18" t="s">
        <v>274</v>
      </c>
      <c r="D37" s="18" t="s">
        <v>275</v>
      </c>
      <c r="E37" s="18" t="s">
        <v>177</v>
      </c>
      <c r="F37" s="19" t="s">
        <v>111</v>
      </c>
      <c r="G37" s="20" t="n">
        <f aca="false">p_Addition_Plumbing_Fixtures</f>
        <v>0</v>
      </c>
      <c r="H37" s="21" t="n">
        <v>250</v>
      </c>
      <c r="I37" s="22" t="s">
        <v>179</v>
      </c>
      <c r="J37" s="23" t="n">
        <f aca="false">H37*INDEX(MarkupVals,MATCH(I37,MarkupCodes,0))</f>
        <v>362.5</v>
      </c>
      <c r="K37" s="24" t="n">
        <f aca="false">G37*J37</f>
        <v>0</v>
      </c>
      <c r="L37" s="21" t="n">
        <v>250</v>
      </c>
      <c r="M37" s="22" t="s">
        <v>179</v>
      </c>
      <c r="N37" s="23" t="n">
        <f aca="false">L37*INDEX(MarkupVals,MATCH(M37,MarkupCodes,0))</f>
        <v>362.5</v>
      </c>
      <c r="O37" s="24" t="n">
        <f aca="false">G37*N37</f>
        <v>0</v>
      </c>
      <c r="P37" s="21" t="n">
        <v>250</v>
      </c>
      <c r="Q37" s="22" t="s">
        <v>179</v>
      </c>
      <c r="R37" s="23" t="n">
        <f aca="false">P37*INDEX(MarkupVals,MATCH(Q37,MarkupCodes,0))</f>
        <v>362.5</v>
      </c>
      <c r="S37" s="24" t="n">
        <f aca="false">G37*R37</f>
        <v>0</v>
      </c>
      <c r="T37" s="25"/>
      <c r="U37" s="26" t="s">
        <v>276</v>
      </c>
    </row>
    <row r="38" customFormat="false" ht="15" hidden="false" customHeight="false" outlineLevel="0" collapsed="false">
      <c r="A38" s="18" t="n">
        <v>34</v>
      </c>
      <c r="B38" s="18" t="s">
        <v>273</v>
      </c>
      <c r="C38" s="18" t="s">
        <v>277</v>
      </c>
      <c r="D38" s="18" t="s">
        <v>275</v>
      </c>
      <c r="E38" s="18" t="s">
        <v>171</v>
      </c>
      <c r="F38" s="19" t="s">
        <v>278</v>
      </c>
      <c r="G38" s="20" t="n">
        <f aca="false">9*p_Addition_Plumbing_Fixtures</f>
        <v>0</v>
      </c>
      <c r="H38" s="23" t="n">
        <f aca="false">LaborCost</f>
        <v>55</v>
      </c>
      <c r="I38" s="22" t="s">
        <v>173</v>
      </c>
      <c r="J38" s="23" t="n">
        <f aca="false">H38*INDEX(MarkupVals,MATCH(I38,MarkupCodes,0))</f>
        <v>100</v>
      </c>
      <c r="K38" s="24" t="n">
        <f aca="false">G38*J38</f>
        <v>0</v>
      </c>
      <c r="L38" s="23" t="n">
        <f aca="false">LaborCost</f>
        <v>55</v>
      </c>
      <c r="M38" s="22" t="s">
        <v>173</v>
      </c>
      <c r="N38" s="23" t="n">
        <f aca="false">L38*INDEX(MarkupVals,MATCH(M38,MarkupCodes,0))</f>
        <v>100</v>
      </c>
      <c r="O38" s="24" t="n">
        <f aca="false">G38*N38</f>
        <v>0</v>
      </c>
      <c r="P38" s="23" t="n">
        <f aca="false">LaborCost</f>
        <v>55</v>
      </c>
      <c r="Q38" s="22" t="s">
        <v>173</v>
      </c>
      <c r="R38" s="23" t="n">
        <f aca="false">P38*INDEX(MarkupVals,MATCH(Q38,MarkupCodes,0))</f>
        <v>100</v>
      </c>
      <c r="S38" s="24" t="n">
        <f aca="false">G38*R38</f>
        <v>0</v>
      </c>
      <c r="T38" s="25"/>
      <c r="U38" s="26"/>
    </row>
    <row r="39" customFormat="false" ht="15" hidden="false" customHeight="false" outlineLevel="0" collapsed="false">
      <c r="A39" s="18" t="n">
        <v>35</v>
      </c>
      <c r="B39" s="18" t="s">
        <v>273</v>
      </c>
      <c r="C39" s="18" t="s">
        <v>279</v>
      </c>
      <c r="D39" s="18" t="s">
        <v>275</v>
      </c>
      <c r="E39" s="18" t="s">
        <v>165</v>
      </c>
      <c r="F39" s="19" t="s">
        <v>114</v>
      </c>
      <c r="G39" s="20" t="n">
        <f aca="false">p_Addition_HVAC_Extend</f>
        <v>1</v>
      </c>
      <c r="H39" s="21" t="n">
        <v>1310</v>
      </c>
      <c r="I39" s="22" t="s">
        <v>252</v>
      </c>
      <c r="J39" s="23" t="n">
        <f aca="false">H39*INDEX(MarkupVals,MATCH(I39,MarkupCodes,0))</f>
        <v>1703</v>
      </c>
      <c r="K39" s="24" t="n">
        <f aca="false">G39*J39</f>
        <v>1703</v>
      </c>
      <c r="L39" s="21" t="n">
        <v>1310</v>
      </c>
      <c r="M39" s="22" t="s">
        <v>252</v>
      </c>
      <c r="N39" s="23" t="n">
        <f aca="false">L39*INDEX(MarkupVals,MATCH(M39,MarkupCodes,0))</f>
        <v>1703</v>
      </c>
      <c r="O39" s="24" t="n">
        <f aca="false">G39*N39</f>
        <v>1703</v>
      </c>
      <c r="P39" s="21" t="n">
        <v>1310</v>
      </c>
      <c r="Q39" s="22" t="s">
        <v>252</v>
      </c>
      <c r="R39" s="23" t="n">
        <f aca="false">P39*INDEX(MarkupVals,MATCH(Q39,MarkupCodes,0))</f>
        <v>1703</v>
      </c>
      <c r="S39" s="24" t="n">
        <f aca="false">G39*R39</f>
        <v>1703</v>
      </c>
      <c r="T39" s="25"/>
      <c r="U39" s="26" t="s">
        <v>280</v>
      </c>
    </row>
    <row r="40" customFormat="false" ht="15" hidden="false" customHeight="false" outlineLevel="0" collapsed="false">
      <c r="A40" s="18" t="n">
        <v>36</v>
      </c>
      <c r="B40" s="18" t="s">
        <v>273</v>
      </c>
      <c r="C40" s="18" t="s">
        <v>281</v>
      </c>
      <c r="D40" s="18" t="s">
        <v>275</v>
      </c>
      <c r="E40" s="18" t="s">
        <v>165</v>
      </c>
      <c r="F40" s="19" t="s">
        <v>117</v>
      </c>
      <c r="G40" s="20" t="n">
        <f aca="false">p_Addition_HVAC_New_Unit</f>
        <v>0</v>
      </c>
      <c r="H40" s="21" t="n">
        <v>7500</v>
      </c>
      <c r="I40" s="22" t="s">
        <v>252</v>
      </c>
      <c r="J40" s="23" t="n">
        <f aca="false">H40*INDEX(MarkupVals,MATCH(I40,MarkupCodes,0))</f>
        <v>9750</v>
      </c>
      <c r="K40" s="24" t="n">
        <f aca="false">G40*J40</f>
        <v>0</v>
      </c>
      <c r="L40" s="21" t="n">
        <v>7500</v>
      </c>
      <c r="M40" s="22" t="s">
        <v>252</v>
      </c>
      <c r="N40" s="23" t="n">
        <f aca="false">L40*INDEX(MarkupVals,MATCH(M40,MarkupCodes,0))</f>
        <v>9750</v>
      </c>
      <c r="O40" s="24" t="n">
        <f aca="false">G40*N40</f>
        <v>0</v>
      </c>
      <c r="P40" s="21" t="n">
        <v>7500</v>
      </c>
      <c r="Q40" s="22" t="s">
        <v>252</v>
      </c>
      <c r="R40" s="23" t="n">
        <f aca="false">P40*INDEX(MarkupVals,MATCH(Q40,MarkupCodes,0))</f>
        <v>9750</v>
      </c>
      <c r="S40" s="24" t="n">
        <f aca="false">G40*R40</f>
        <v>0</v>
      </c>
      <c r="T40" s="25"/>
      <c r="U40" s="26" t="s">
        <v>282</v>
      </c>
    </row>
    <row r="41" customFormat="false" ht="15" hidden="false" customHeight="false" outlineLevel="0" collapsed="false">
      <c r="A41" s="18" t="n">
        <v>37</v>
      </c>
      <c r="B41" s="18" t="s">
        <v>283</v>
      </c>
      <c r="C41" s="18" t="s">
        <v>284</v>
      </c>
      <c r="D41" s="18" t="s">
        <v>285</v>
      </c>
      <c r="E41" s="18" t="s">
        <v>217</v>
      </c>
      <c r="F41" s="19" t="s">
        <v>286</v>
      </c>
      <c r="G41" s="20" t="n">
        <f aca="false">p_Addition_Electrical*p_Addition_Width*p_Addition_Depth*p_Addition_Stories</f>
        <v>320</v>
      </c>
      <c r="H41" s="21" t="n">
        <v>2.61</v>
      </c>
      <c r="I41" s="22" t="s">
        <v>179</v>
      </c>
      <c r="J41" s="23" t="n">
        <f aca="false">H41*INDEX(MarkupVals,MATCH(I41,MarkupCodes,0))</f>
        <v>3.7845</v>
      </c>
      <c r="K41" s="24" t="n">
        <f aca="false">G41*J41</f>
        <v>1211.04</v>
      </c>
      <c r="L41" s="21" t="n">
        <v>2.61</v>
      </c>
      <c r="M41" s="22" t="s">
        <v>179</v>
      </c>
      <c r="N41" s="23" t="n">
        <f aca="false">L41*INDEX(MarkupVals,MATCH(M41,MarkupCodes,0))</f>
        <v>3.7845</v>
      </c>
      <c r="O41" s="24" t="n">
        <f aca="false">G41*N41</f>
        <v>1211.04</v>
      </c>
      <c r="P41" s="21" t="n">
        <v>2.61</v>
      </c>
      <c r="Q41" s="22" t="s">
        <v>179</v>
      </c>
      <c r="R41" s="23" t="n">
        <f aca="false">P41*INDEX(MarkupVals,MATCH(Q41,MarkupCodes,0))</f>
        <v>3.7845</v>
      </c>
      <c r="S41" s="24" t="n">
        <f aca="false">G41*R41</f>
        <v>1211.04</v>
      </c>
      <c r="T41" s="25"/>
      <c r="U41" s="26" t="s">
        <v>287</v>
      </c>
    </row>
    <row r="42" customFormat="false" ht="15" hidden="false" customHeight="false" outlineLevel="0" collapsed="false">
      <c r="A42" s="18" t="n">
        <v>38</v>
      </c>
      <c r="B42" s="18" t="s">
        <v>283</v>
      </c>
      <c r="C42" s="18" t="s">
        <v>288</v>
      </c>
      <c r="D42" s="18" t="s">
        <v>285</v>
      </c>
      <c r="E42" s="18" t="s">
        <v>171</v>
      </c>
      <c r="F42" s="19" t="s">
        <v>289</v>
      </c>
      <c r="G42" s="20" t="n">
        <f aca="false">p_Addition_Electrical*(8 + ROUNDUP(p_Addition_Width*p_Addition_Depth*p_Addition_Stories/16,0))</f>
        <v>28</v>
      </c>
      <c r="H42" s="23" t="n">
        <f aca="false">LaborCost</f>
        <v>55</v>
      </c>
      <c r="I42" s="22" t="s">
        <v>173</v>
      </c>
      <c r="J42" s="23" t="n">
        <f aca="false">H42*INDEX(MarkupVals,MATCH(I42,MarkupCodes,0))</f>
        <v>100</v>
      </c>
      <c r="K42" s="24" t="n">
        <f aca="false">G42*J42</f>
        <v>2800</v>
      </c>
      <c r="L42" s="23" t="n">
        <f aca="false">LaborCost</f>
        <v>55</v>
      </c>
      <c r="M42" s="22" t="s">
        <v>173</v>
      </c>
      <c r="N42" s="23" t="n">
        <f aca="false">L42*INDEX(MarkupVals,MATCH(M42,MarkupCodes,0))</f>
        <v>100</v>
      </c>
      <c r="O42" s="24" t="n">
        <f aca="false">G42*N42</f>
        <v>2800</v>
      </c>
      <c r="P42" s="23" t="n">
        <f aca="false">LaborCost</f>
        <v>55</v>
      </c>
      <c r="Q42" s="22" t="s">
        <v>173</v>
      </c>
      <c r="R42" s="23" t="n">
        <f aca="false">P42*INDEX(MarkupVals,MATCH(Q42,MarkupCodes,0))</f>
        <v>100</v>
      </c>
      <c r="S42" s="24" t="n">
        <f aca="false">G42*R42</f>
        <v>2800</v>
      </c>
      <c r="T42" s="25"/>
      <c r="U42" s="26" t="s">
        <v>290</v>
      </c>
    </row>
    <row r="43" customFormat="false" ht="15" hidden="false" customHeight="false" outlineLevel="0" collapsed="false">
      <c r="A43" s="18" t="n">
        <v>39</v>
      </c>
      <c r="B43" s="18" t="s">
        <v>291</v>
      </c>
      <c r="C43" s="18" t="s">
        <v>292</v>
      </c>
      <c r="D43" s="18" t="s">
        <v>293</v>
      </c>
      <c r="E43" s="18" t="s">
        <v>217</v>
      </c>
      <c r="F43" s="19" t="s">
        <v>294</v>
      </c>
      <c r="G43" s="20" t="n">
        <f aca="false">p_Addition_Drywall*p_Addition_Width*p_Addition_Depth*p_Addition_Stories</f>
        <v>320</v>
      </c>
      <c r="H43" s="21" t="n">
        <v>8.52</v>
      </c>
      <c r="I43" s="22" t="s">
        <v>252</v>
      </c>
      <c r="J43" s="23" t="n">
        <f aca="false">H43*INDEX(MarkupVals,MATCH(I43,MarkupCodes,0))</f>
        <v>11.076</v>
      </c>
      <c r="K43" s="24" t="n">
        <f aca="false">G43*J43</f>
        <v>3544.32</v>
      </c>
      <c r="L43" s="21" t="n">
        <v>8.52</v>
      </c>
      <c r="M43" s="22" t="s">
        <v>252</v>
      </c>
      <c r="N43" s="23" t="n">
        <f aca="false">L43*INDEX(MarkupVals,MATCH(M43,MarkupCodes,0))</f>
        <v>11.076</v>
      </c>
      <c r="O43" s="24" t="n">
        <f aca="false">G43*N43</f>
        <v>3544.32</v>
      </c>
      <c r="P43" s="21" t="n">
        <v>8.52</v>
      </c>
      <c r="Q43" s="22" t="s">
        <v>252</v>
      </c>
      <c r="R43" s="23" t="n">
        <f aca="false">P43*INDEX(MarkupVals,MATCH(Q43,MarkupCodes,0))</f>
        <v>11.076</v>
      </c>
      <c r="S43" s="24" t="n">
        <f aca="false">G43*R43</f>
        <v>3544.32</v>
      </c>
      <c r="T43" s="25"/>
      <c r="U43" s="26" t="s">
        <v>295</v>
      </c>
    </row>
    <row r="44" customFormat="false" ht="15" hidden="false" customHeight="false" outlineLevel="0" collapsed="false">
      <c r="A44" s="18" t="n">
        <v>40</v>
      </c>
      <c r="B44" s="18" t="s">
        <v>296</v>
      </c>
      <c r="C44" s="18" t="s">
        <v>297</v>
      </c>
      <c r="D44" s="18" t="s">
        <v>293</v>
      </c>
      <c r="E44" s="18" t="s">
        <v>217</v>
      </c>
      <c r="F44" s="19" t="s">
        <v>294</v>
      </c>
      <c r="G44" s="20" t="n">
        <f aca="false">p_Addition_Drywall*p_Addition_Width*p_Addition_Depth*p_Addition_Stories</f>
        <v>320</v>
      </c>
      <c r="H44" s="21" t="n">
        <v>1.02</v>
      </c>
      <c r="I44" s="22" t="s">
        <v>179</v>
      </c>
      <c r="J44" s="23" t="n">
        <f aca="false">H44*INDEX(MarkupVals,MATCH(I44,MarkupCodes,0))</f>
        <v>1.479</v>
      </c>
      <c r="K44" s="24" t="n">
        <f aca="false">G44*J44</f>
        <v>473.28</v>
      </c>
      <c r="L44" s="21" t="n">
        <v>1.02</v>
      </c>
      <c r="M44" s="22" t="s">
        <v>179</v>
      </c>
      <c r="N44" s="23" t="n">
        <f aca="false">L44*INDEX(MarkupVals,MATCH(M44,MarkupCodes,0))</f>
        <v>1.479</v>
      </c>
      <c r="O44" s="24" t="n">
        <f aca="false">G44*N44</f>
        <v>473.28</v>
      </c>
      <c r="P44" s="21" t="n">
        <v>1.02</v>
      </c>
      <c r="Q44" s="22" t="s">
        <v>179</v>
      </c>
      <c r="R44" s="23" t="n">
        <f aca="false">P44*INDEX(MarkupVals,MATCH(Q44,MarkupCodes,0))</f>
        <v>1.479</v>
      </c>
      <c r="S44" s="24" t="n">
        <f aca="false">G44*R44</f>
        <v>473.28</v>
      </c>
      <c r="T44" s="25"/>
      <c r="U44" s="26" t="s">
        <v>298</v>
      </c>
    </row>
    <row r="45" customFormat="false" ht="15" hidden="false" customHeight="false" outlineLevel="0" collapsed="false">
      <c r="A45" s="18" t="n">
        <v>41</v>
      </c>
      <c r="B45" s="18" t="s">
        <v>296</v>
      </c>
      <c r="C45" s="18" t="s">
        <v>299</v>
      </c>
      <c r="D45" s="18" t="s">
        <v>293</v>
      </c>
      <c r="E45" s="18" t="s">
        <v>217</v>
      </c>
      <c r="F45" s="19" t="s">
        <v>294</v>
      </c>
      <c r="G45" s="20" t="n">
        <f aca="false">p_Addition_Drywall*p_Addition_Width*p_Addition_Depth*p_Addition_Stories</f>
        <v>320</v>
      </c>
      <c r="H45" s="21" t="n">
        <v>1.31</v>
      </c>
      <c r="I45" s="22" t="s">
        <v>179</v>
      </c>
      <c r="J45" s="23" t="n">
        <f aca="false">H45*INDEX(MarkupVals,MATCH(I45,MarkupCodes,0))</f>
        <v>1.8995</v>
      </c>
      <c r="K45" s="24" t="n">
        <f aca="false">G45*J45</f>
        <v>607.84</v>
      </c>
      <c r="L45" s="21" t="n">
        <v>1.31</v>
      </c>
      <c r="M45" s="22" t="s">
        <v>179</v>
      </c>
      <c r="N45" s="23" t="n">
        <f aca="false">L45*INDEX(MarkupVals,MATCH(M45,MarkupCodes,0))</f>
        <v>1.8995</v>
      </c>
      <c r="O45" s="24" t="n">
        <f aca="false">G45*N45</f>
        <v>607.84</v>
      </c>
      <c r="P45" s="21" t="n">
        <v>1.31</v>
      </c>
      <c r="Q45" s="22" t="s">
        <v>179</v>
      </c>
      <c r="R45" s="23" t="n">
        <f aca="false">P45*INDEX(MarkupVals,MATCH(Q45,MarkupCodes,0))</f>
        <v>1.8995</v>
      </c>
      <c r="S45" s="24" t="n">
        <f aca="false">G45*R45</f>
        <v>607.84</v>
      </c>
      <c r="T45" s="25"/>
      <c r="U45" s="26"/>
    </row>
    <row r="46" customFormat="false" ht="15" hidden="false" customHeight="false" outlineLevel="0" collapsed="false">
      <c r="A46" s="18" t="n">
        <v>42</v>
      </c>
      <c r="B46" s="18" t="s">
        <v>296</v>
      </c>
      <c r="C46" s="18" t="s">
        <v>300</v>
      </c>
      <c r="D46" s="18" t="s">
        <v>301</v>
      </c>
      <c r="E46" s="18" t="s">
        <v>171</v>
      </c>
      <c r="F46" s="19" t="s">
        <v>302</v>
      </c>
      <c r="G46" s="20" t="n">
        <f aca="false">p_Addition_Drywall*ROUNDUP(p_Addition_Width*p_Addition_Depth*p_Addition_Stories/12,0)</f>
        <v>27</v>
      </c>
      <c r="H46" s="23" t="n">
        <f aca="false">LaborCost</f>
        <v>55</v>
      </c>
      <c r="I46" s="22" t="s">
        <v>173</v>
      </c>
      <c r="J46" s="23" t="n">
        <f aca="false">H46*INDEX(MarkupVals,MATCH(I46,MarkupCodes,0))</f>
        <v>100</v>
      </c>
      <c r="K46" s="24" t="n">
        <f aca="false">G46*J46</f>
        <v>2700</v>
      </c>
      <c r="L46" s="23" t="n">
        <f aca="false">LaborCost</f>
        <v>55</v>
      </c>
      <c r="M46" s="22" t="s">
        <v>173</v>
      </c>
      <c r="N46" s="23" t="n">
        <f aca="false">L46*INDEX(MarkupVals,MATCH(M46,MarkupCodes,0))</f>
        <v>100</v>
      </c>
      <c r="O46" s="24" t="n">
        <f aca="false">G46*N46</f>
        <v>2700</v>
      </c>
      <c r="P46" s="23" t="n">
        <f aca="false">LaborCost</f>
        <v>55</v>
      </c>
      <c r="Q46" s="22" t="s">
        <v>173</v>
      </c>
      <c r="R46" s="23" t="n">
        <f aca="false">P46*INDEX(MarkupVals,MATCH(Q46,MarkupCodes,0))</f>
        <v>100</v>
      </c>
      <c r="S46" s="24" t="n">
        <f aca="false">G46*R46</f>
        <v>2700</v>
      </c>
      <c r="T46" s="25"/>
      <c r="U46" s="26"/>
    </row>
    <row r="47" customFormat="false" ht="15" hidden="false" customHeight="false" outlineLevel="0" collapsed="false">
      <c r="A47" s="18" t="n">
        <v>43</v>
      </c>
      <c r="B47" s="18" t="s">
        <v>303</v>
      </c>
      <c r="C47" s="18" t="s">
        <v>304</v>
      </c>
      <c r="D47" s="18" t="s">
        <v>293</v>
      </c>
      <c r="E47" s="18" t="s">
        <v>305</v>
      </c>
      <c r="F47" s="19" t="s">
        <v>306</v>
      </c>
      <c r="G47" s="20" t="n">
        <f aca="false">p_Addition_Drywall*ROUNDUP(p_Addition_Width*p_Addition_Depth*p_Addition_Stories/60,0)</f>
        <v>6</v>
      </c>
      <c r="H47" s="21" t="n">
        <v>85</v>
      </c>
      <c r="I47" s="22" t="s">
        <v>179</v>
      </c>
      <c r="J47" s="23" t="n">
        <f aca="false">H47*INDEX(MarkupVals,MATCH(I47,MarkupCodes,0))</f>
        <v>123.25</v>
      </c>
      <c r="K47" s="24" t="n">
        <f aca="false">G47*J47</f>
        <v>739.5</v>
      </c>
      <c r="L47" s="21" t="n">
        <v>85</v>
      </c>
      <c r="M47" s="22" t="s">
        <v>179</v>
      </c>
      <c r="N47" s="23" t="n">
        <f aca="false">L47*INDEX(MarkupVals,MATCH(M47,MarkupCodes,0))</f>
        <v>123.25</v>
      </c>
      <c r="O47" s="24" t="n">
        <f aca="false">G47*N47</f>
        <v>739.5</v>
      </c>
      <c r="P47" s="21" t="n">
        <v>85</v>
      </c>
      <c r="Q47" s="22" t="s">
        <v>179</v>
      </c>
      <c r="R47" s="23" t="n">
        <f aca="false">P47*INDEX(MarkupVals,MATCH(Q47,MarkupCodes,0))</f>
        <v>123.25</v>
      </c>
      <c r="S47" s="24" t="n">
        <f aca="false">G47*R47</f>
        <v>739.5</v>
      </c>
      <c r="T47" s="25"/>
      <c r="U47" s="26"/>
    </row>
    <row r="48" customFormat="false" ht="15" hidden="false" customHeight="false" outlineLevel="0" collapsed="false">
      <c r="A48" s="18" t="n">
        <v>44</v>
      </c>
      <c r="B48" s="18" t="s">
        <v>303</v>
      </c>
      <c r="C48" s="18" t="s">
        <v>307</v>
      </c>
      <c r="D48" s="18" t="s">
        <v>308</v>
      </c>
      <c r="E48" s="18" t="s">
        <v>171</v>
      </c>
      <c r="F48" s="19" t="s">
        <v>309</v>
      </c>
      <c r="G48" s="20" t="n">
        <f aca="false">p_Addition_Drywall*ROUNDUP(p_Addition_Width*p_Addition_Depth*p_Addition_Stories/15,0)</f>
        <v>22</v>
      </c>
      <c r="H48" s="23" t="n">
        <f aca="false">LaborCost</f>
        <v>55</v>
      </c>
      <c r="I48" s="22" t="s">
        <v>173</v>
      </c>
      <c r="J48" s="23" t="n">
        <f aca="false">H48*INDEX(MarkupVals,MATCH(I48,MarkupCodes,0))</f>
        <v>100</v>
      </c>
      <c r="K48" s="24" t="n">
        <f aca="false">G48*J48</f>
        <v>2200</v>
      </c>
      <c r="L48" s="23" t="n">
        <f aca="false">LaborCost</f>
        <v>55</v>
      </c>
      <c r="M48" s="22" t="s">
        <v>173</v>
      </c>
      <c r="N48" s="23" t="n">
        <f aca="false">L48*INDEX(MarkupVals,MATCH(M48,MarkupCodes,0))</f>
        <v>100</v>
      </c>
      <c r="O48" s="24" t="n">
        <f aca="false">G48*N48</f>
        <v>2200</v>
      </c>
      <c r="P48" s="23" t="n">
        <f aca="false">LaborCost</f>
        <v>55</v>
      </c>
      <c r="Q48" s="22" t="s">
        <v>173</v>
      </c>
      <c r="R48" s="23" t="n">
        <f aca="false">P48*INDEX(MarkupVals,MATCH(Q48,MarkupCodes,0))</f>
        <v>100</v>
      </c>
      <c r="S48" s="24" t="n">
        <f aca="false">G48*R48</f>
        <v>2200</v>
      </c>
      <c r="T48" s="25"/>
      <c r="U48" s="26"/>
    </row>
    <row r="49" customFormat="false" ht="15" hidden="false" customHeight="false" outlineLevel="0" collapsed="false">
      <c r="A49" s="18" t="n">
        <v>45</v>
      </c>
      <c r="B49" s="18" t="s">
        <v>310</v>
      </c>
      <c r="C49" s="18" t="s">
        <v>311</v>
      </c>
      <c r="D49" s="18" t="s">
        <v>266</v>
      </c>
      <c r="E49" s="18" t="s">
        <v>177</v>
      </c>
      <c r="F49" s="19" t="s">
        <v>105</v>
      </c>
      <c r="G49" s="20" t="n">
        <f aca="false">p_Addition_Interior_Doors</f>
        <v>0</v>
      </c>
      <c r="H49" s="21" t="n">
        <v>400</v>
      </c>
      <c r="I49" s="22" t="s">
        <v>179</v>
      </c>
      <c r="J49" s="23" t="n">
        <f aca="false">H49*INDEX(MarkupVals,MATCH(I49,MarkupCodes,0))</f>
        <v>580</v>
      </c>
      <c r="K49" s="24" t="n">
        <f aca="false">G49*J49</f>
        <v>0</v>
      </c>
      <c r="L49" s="21" t="n">
        <v>400</v>
      </c>
      <c r="M49" s="22" t="s">
        <v>179</v>
      </c>
      <c r="N49" s="23" t="n">
        <f aca="false">L49*INDEX(MarkupVals,MATCH(M49,MarkupCodes,0))</f>
        <v>580</v>
      </c>
      <c r="O49" s="24" t="n">
        <f aca="false">G49*N49</f>
        <v>0</v>
      </c>
      <c r="P49" s="21" t="n">
        <v>400</v>
      </c>
      <c r="Q49" s="22" t="s">
        <v>179</v>
      </c>
      <c r="R49" s="23" t="n">
        <f aca="false">P49*INDEX(MarkupVals,MATCH(Q49,MarkupCodes,0))</f>
        <v>580</v>
      </c>
      <c r="S49" s="24" t="n">
        <f aca="false">G49*R49</f>
        <v>0</v>
      </c>
      <c r="T49" s="25"/>
      <c r="U49" s="26" t="s">
        <v>312</v>
      </c>
    </row>
    <row r="50" customFormat="false" ht="15" hidden="false" customHeight="false" outlineLevel="0" collapsed="false">
      <c r="A50" s="18" t="n">
        <v>46</v>
      </c>
      <c r="B50" s="18" t="s">
        <v>313</v>
      </c>
      <c r="C50" s="18" t="s">
        <v>314</v>
      </c>
      <c r="D50" s="18" t="s">
        <v>293</v>
      </c>
      <c r="E50" s="18" t="s">
        <v>217</v>
      </c>
      <c r="F50" s="19" t="s">
        <v>315</v>
      </c>
      <c r="G50" s="20" t="n">
        <f aca="false">p_Addition_Living_Space*p_Addition_Width*p_Addition_Depth*p_Addition_Stories</f>
        <v>320</v>
      </c>
      <c r="H50" s="21" t="n">
        <v>0.75</v>
      </c>
      <c r="I50" s="22" t="s">
        <v>179</v>
      </c>
      <c r="J50" s="23" t="n">
        <f aca="false">H50*INDEX(MarkupVals,MATCH(I50,MarkupCodes,0))</f>
        <v>1.0875</v>
      </c>
      <c r="K50" s="24" t="n">
        <f aca="false">G50*J50</f>
        <v>348</v>
      </c>
      <c r="L50" s="21" t="n">
        <v>0.75</v>
      </c>
      <c r="M50" s="22" t="s">
        <v>179</v>
      </c>
      <c r="N50" s="23" t="n">
        <f aca="false">L50*INDEX(MarkupVals,MATCH(M50,MarkupCodes,0))</f>
        <v>1.0875</v>
      </c>
      <c r="O50" s="24" t="n">
        <f aca="false">G50*N50</f>
        <v>348</v>
      </c>
      <c r="P50" s="21" t="n">
        <v>0.75</v>
      </c>
      <c r="Q50" s="22" t="s">
        <v>179</v>
      </c>
      <c r="R50" s="23" t="n">
        <f aca="false">P50*INDEX(MarkupVals,MATCH(Q50,MarkupCodes,0))</f>
        <v>1.0875</v>
      </c>
      <c r="S50" s="24" t="n">
        <f aca="false">G50*R50</f>
        <v>348</v>
      </c>
      <c r="T50" s="25"/>
      <c r="U50" s="26"/>
    </row>
    <row r="51" customFormat="false" ht="15" hidden="false" customHeight="false" outlineLevel="0" collapsed="false">
      <c r="A51" s="18" t="n">
        <v>47</v>
      </c>
      <c r="B51" s="18" t="s">
        <v>313</v>
      </c>
      <c r="C51" s="18" t="s">
        <v>316</v>
      </c>
      <c r="D51" s="18" t="s">
        <v>317</v>
      </c>
      <c r="E51" s="18" t="s">
        <v>171</v>
      </c>
      <c r="F51" s="19" t="s">
        <v>318</v>
      </c>
      <c r="G51" s="20" t="n">
        <f aca="false">p_Addition_Living_Space*ROUNDUP(p_Addition_Width*p_Addition_Depth*p_Addition_Stories/25,0)</f>
        <v>13</v>
      </c>
      <c r="H51" s="23" t="n">
        <f aca="false">LaborCost</f>
        <v>55</v>
      </c>
      <c r="I51" s="22" t="s">
        <v>173</v>
      </c>
      <c r="J51" s="23" t="n">
        <f aca="false">H51*INDEX(MarkupVals,MATCH(I51,MarkupCodes,0))</f>
        <v>100</v>
      </c>
      <c r="K51" s="24" t="n">
        <f aca="false">G51*J51</f>
        <v>1300</v>
      </c>
      <c r="L51" s="23" t="n">
        <f aca="false">LaborCost</f>
        <v>55</v>
      </c>
      <c r="M51" s="22" t="s">
        <v>173</v>
      </c>
      <c r="N51" s="23" t="n">
        <f aca="false">L51*INDEX(MarkupVals,MATCH(M51,MarkupCodes,0))</f>
        <v>100</v>
      </c>
      <c r="O51" s="24" t="n">
        <f aca="false">G51*N51</f>
        <v>1300</v>
      </c>
      <c r="P51" s="23" t="n">
        <f aca="false">LaborCost</f>
        <v>55</v>
      </c>
      <c r="Q51" s="22" t="s">
        <v>173</v>
      </c>
      <c r="R51" s="23" t="n">
        <f aca="false">P51*INDEX(MarkupVals,MATCH(Q51,MarkupCodes,0))</f>
        <v>100</v>
      </c>
      <c r="S51" s="24" t="n">
        <f aca="false">G51*R51</f>
        <v>1300</v>
      </c>
      <c r="T51" s="25"/>
      <c r="U51" s="26"/>
    </row>
    <row r="52" customFormat="false" ht="15" hidden="false" customHeight="false" outlineLevel="0" collapsed="false">
      <c r="A52" s="18" t="n">
        <v>48</v>
      </c>
      <c r="B52" s="18" t="s">
        <v>319</v>
      </c>
      <c r="C52" s="18" t="s">
        <v>320</v>
      </c>
      <c r="D52" s="18" t="s">
        <v>232</v>
      </c>
      <c r="E52" s="18" t="s">
        <v>177</v>
      </c>
      <c r="F52" s="19" t="s">
        <v>321</v>
      </c>
      <c r="G52" s="20" t="n">
        <f aca="false">p_Addition_Living_Space*ROUNDUP((p_Addition_Width + 2*p_Addition_Depth + p_Addition_Detached*p_Addition_Width)*p_Addition_Stories/12,0)</f>
        <v>5</v>
      </c>
      <c r="H52" s="21" t="n">
        <v>45.49</v>
      </c>
      <c r="I52" s="22" t="s">
        <v>179</v>
      </c>
      <c r="J52" s="23" t="n">
        <f aca="false">H52*INDEX(MarkupVals,MATCH(I52,MarkupCodes,0))</f>
        <v>65.9605</v>
      </c>
      <c r="K52" s="24" t="n">
        <f aca="false">G52*J52</f>
        <v>329.8025</v>
      </c>
      <c r="L52" s="21" t="n">
        <v>45.49</v>
      </c>
      <c r="M52" s="22" t="s">
        <v>179</v>
      </c>
      <c r="N52" s="23" t="n">
        <f aca="false">L52*INDEX(MarkupVals,MATCH(M52,MarkupCodes,0))</f>
        <v>65.9605</v>
      </c>
      <c r="O52" s="24" t="n">
        <f aca="false">G52*N52</f>
        <v>329.8025</v>
      </c>
      <c r="P52" s="21" t="n">
        <v>45.49</v>
      </c>
      <c r="Q52" s="22" t="s">
        <v>179</v>
      </c>
      <c r="R52" s="23" t="n">
        <f aca="false">P52*INDEX(MarkupVals,MATCH(Q52,MarkupCodes,0))</f>
        <v>65.9605</v>
      </c>
      <c r="S52" s="24" t="n">
        <f aca="false">G52*R52</f>
        <v>329.8025</v>
      </c>
      <c r="T52" s="25"/>
      <c r="U52" s="26"/>
    </row>
    <row r="53" customFormat="false" ht="15" hidden="false" customHeight="false" outlineLevel="0" collapsed="false">
      <c r="A53" s="18" t="n">
        <v>49</v>
      </c>
      <c r="B53" s="18" t="s">
        <v>319</v>
      </c>
      <c r="C53" s="18" t="s">
        <v>322</v>
      </c>
      <c r="D53" s="18" t="s">
        <v>232</v>
      </c>
      <c r="E53" s="18" t="s">
        <v>177</v>
      </c>
      <c r="F53" s="19" t="s">
        <v>323</v>
      </c>
      <c r="G53" s="20" t="n">
        <f aca="false">p_Addition_Living_Space*(p_Addition_Windows + p_Addition_Exterior_Doors + p_Addition_Patio_Doors)</f>
        <v>5</v>
      </c>
      <c r="H53" s="21" t="n">
        <v>37.11</v>
      </c>
      <c r="I53" s="22" t="s">
        <v>179</v>
      </c>
      <c r="J53" s="23" t="n">
        <f aca="false">H53*INDEX(MarkupVals,MATCH(I53,MarkupCodes,0))</f>
        <v>53.8095</v>
      </c>
      <c r="K53" s="24" t="n">
        <f aca="false">G53*J53</f>
        <v>269.0475</v>
      </c>
      <c r="L53" s="21" t="n">
        <v>37.11</v>
      </c>
      <c r="M53" s="22" t="s">
        <v>179</v>
      </c>
      <c r="N53" s="23" t="n">
        <f aca="false">L53*INDEX(MarkupVals,MATCH(M53,MarkupCodes,0))</f>
        <v>53.8095</v>
      </c>
      <c r="O53" s="24" t="n">
        <f aca="false">G53*N53</f>
        <v>269.0475</v>
      </c>
      <c r="P53" s="21" t="n">
        <v>37.11</v>
      </c>
      <c r="Q53" s="22" t="s">
        <v>179</v>
      </c>
      <c r="R53" s="23" t="n">
        <f aca="false">P53*INDEX(MarkupVals,MATCH(Q53,MarkupCodes,0))</f>
        <v>53.8095</v>
      </c>
      <c r="S53" s="24" t="n">
        <f aca="false">G53*R53</f>
        <v>269.0475</v>
      </c>
      <c r="T53" s="25"/>
      <c r="U53" s="26"/>
    </row>
    <row r="54" customFormat="false" ht="15" hidden="false" customHeight="false" outlineLevel="0" collapsed="false">
      <c r="A54" s="18" t="n">
        <v>50</v>
      </c>
      <c r="B54" s="18" t="s">
        <v>319</v>
      </c>
      <c r="C54" s="18" t="s">
        <v>324</v>
      </c>
      <c r="D54" s="18" t="s">
        <v>325</v>
      </c>
      <c r="E54" s="18" t="s">
        <v>171</v>
      </c>
      <c r="F54" s="19" t="s">
        <v>326</v>
      </c>
      <c r="G54" s="20" t="n">
        <f aca="false">p_Addition_Living_Space*(4 + ROUNDUP((p_Addition_Width + 2*p_Addition_Depth + p_Addition_Detached*p_Addition_Width)*p_Addition_Stories/8,0) + p_Addition_Windows + p_Addition_Exterior_Doors + p_Addition_Patio_Doors)</f>
        <v>16</v>
      </c>
      <c r="H54" s="23" t="n">
        <f aca="false">LaborCost</f>
        <v>55</v>
      </c>
      <c r="I54" s="22" t="s">
        <v>173</v>
      </c>
      <c r="J54" s="23" t="n">
        <f aca="false">H54*INDEX(MarkupVals,MATCH(I54,MarkupCodes,0))</f>
        <v>100</v>
      </c>
      <c r="K54" s="24" t="n">
        <f aca="false">G54*J54</f>
        <v>1600</v>
      </c>
      <c r="L54" s="23" t="n">
        <f aca="false">LaborCost</f>
        <v>55</v>
      </c>
      <c r="M54" s="22" t="s">
        <v>173</v>
      </c>
      <c r="N54" s="23" t="n">
        <f aca="false">L54*INDEX(MarkupVals,MATCH(M54,MarkupCodes,0))</f>
        <v>100</v>
      </c>
      <c r="O54" s="24" t="n">
        <f aca="false">G54*N54</f>
        <v>1600</v>
      </c>
      <c r="P54" s="23" t="n">
        <f aca="false">LaborCost</f>
        <v>55</v>
      </c>
      <c r="Q54" s="22" t="s">
        <v>173</v>
      </c>
      <c r="R54" s="23" t="n">
        <f aca="false">P54*INDEX(MarkupVals,MATCH(Q54,MarkupCodes,0))</f>
        <v>100</v>
      </c>
      <c r="S54" s="24" t="n">
        <f aca="false">G54*R54</f>
        <v>1600</v>
      </c>
      <c r="T54" s="25"/>
      <c r="U54" s="26"/>
    </row>
    <row r="55" customFormat="false" ht="15" hidden="false" customHeight="false" outlineLevel="0" collapsed="false">
      <c r="A55" s="18" t="n">
        <v>51</v>
      </c>
      <c r="B55" s="18" t="s">
        <v>327</v>
      </c>
      <c r="C55" s="18" t="s">
        <v>328</v>
      </c>
      <c r="D55" s="18" t="s">
        <v>242</v>
      </c>
      <c r="E55" s="18" t="s">
        <v>257</v>
      </c>
      <c r="F55" s="19" t="s">
        <v>329</v>
      </c>
      <c r="G55" s="20" t="n">
        <f aca="false">ROUNDUP(p_Addition_Width*p_Addition_Depth*1.25/100,0) + 2*p_Addition_Roof_Tie_In</f>
        <v>6</v>
      </c>
      <c r="H55" s="21" t="n">
        <v>210</v>
      </c>
      <c r="I55" s="22" t="s">
        <v>179</v>
      </c>
      <c r="J55" s="23" t="n">
        <f aca="false">H55*INDEX(MarkupVals,MATCH(I55,MarkupCodes,0))</f>
        <v>304.5</v>
      </c>
      <c r="K55" s="24" t="n">
        <f aca="false">G55*J55</f>
        <v>1827</v>
      </c>
      <c r="L55" s="21" t="n">
        <v>245</v>
      </c>
      <c r="M55" s="22" t="s">
        <v>179</v>
      </c>
      <c r="N55" s="23" t="n">
        <f aca="false">L55*INDEX(MarkupVals,MATCH(M55,MarkupCodes,0))</f>
        <v>355.25</v>
      </c>
      <c r="O55" s="24" t="n">
        <f aca="false">G55*N55</f>
        <v>2131.5</v>
      </c>
      <c r="P55" s="21" t="n">
        <v>313</v>
      </c>
      <c r="Q55" s="22" t="s">
        <v>179</v>
      </c>
      <c r="R55" s="23" t="n">
        <f aca="false">P55*INDEX(MarkupVals,MATCH(Q55,MarkupCodes,0))</f>
        <v>453.85</v>
      </c>
      <c r="S55" s="24" t="n">
        <f aca="false">G55*R55</f>
        <v>2723.1</v>
      </c>
      <c r="T55" s="25" t="s">
        <v>330</v>
      </c>
      <c r="U55" s="26" t="s">
        <v>331</v>
      </c>
    </row>
    <row r="56" customFormat="false" ht="15" hidden="false" customHeight="false" outlineLevel="0" collapsed="false">
      <c r="A56" s="18" t="n">
        <v>52</v>
      </c>
      <c r="B56" s="18" t="s">
        <v>327</v>
      </c>
      <c r="C56" s="18" t="s">
        <v>332</v>
      </c>
      <c r="D56" s="18" t="s">
        <v>242</v>
      </c>
      <c r="E56" s="18" t="s">
        <v>257</v>
      </c>
      <c r="F56" s="19" t="s">
        <v>329</v>
      </c>
      <c r="G56" s="20" t="n">
        <f aca="false">ROUNDUP(p_Addition_Width*p_Addition_Depth*1.25/100,0) + 2*p_Addition_Roof_Tie_In</f>
        <v>6</v>
      </c>
      <c r="H56" s="21" t="n">
        <v>95</v>
      </c>
      <c r="I56" s="22" t="s">
        <v>246</v>
      </c>
      <c r="J56" s="23" t="n">
        <f aca="false">H56*INDEX(MarkupVals,MATCH(I56,MarkupCodes,0))</f>
        <v>137.75</v>
      </c>
      <c r="K56" s="24" t="n">
        <f aca="false">G56*J56</f>
        <v>826.5</v>
      </c>
      <c r="L56" s="21" t="n">
        <v>95</v>
      </c>
      <c r="M56" s="22" t="s">
        <v>246</v>
      </c>
      <c r="N56" s="23" t="n">
        <f aca="false">L56*INDEX(MarkupVals,MATCH(M56,MarkupCodes,0))</f>
        <v>137.75</v>
      </c>
      <c r="O56" s="24" t="n">
        <f aca="false">G56*N56</f>
        <v>826.5</v>
      </c>
      <c r="P56" s="21" t="n">
        <v>200</v>
      </c>
      <c r="Q56" s="22" t="s">
        <v>246</v>
      </c>
      <c r="R56" s="23" t="n">
        <f aca="false">P56*INDEX(MarkupVals,MATCH(Q56,MarkupCodes,0))</f>
        <v>290</v>
      </c>
      <c r="S56" s="24" t="n">
        <f aca="false">G56*R56</f>
        <v>1740</v>
      </c>
      <c r="T56" s="25"/>
      <c r="U56" s="26" t="s">
        <v>333</v>
      </c>
    </row>
    <row r="57" customFormat="false" ht="15" hidden="false" customHeight="false" outlineLevel="0" collapsed="false">
      <c r="A57" s="18" t="n">
        <v>53</v>
      </c>
      <c r="B57" s="18" t="s">
        <v>327</v>
      </c>
      <c r="C57" s="18" t="s">
        <v>334</v>
      </c>
      <c r="D57" s="18" t="s">
        <v>249</v>
      </c>
      <c r="E57" s="18" t="s">
        <v>257</v>
      </c>
      <c r="F57" s="19" t="s">
        <v>254</v>
      </c>
      <c r="G57" s="20" t="n">
        <f aca="false">ROUNDUP((p_Addition_Width + 2*p_Addition_Depth + p_Addition_Detached*p_Addition_Width)*p_Addition_Wall_Height*p_Addition_Stories*1.15/100,0) + p_Addition_Extra_Siding_Squares</f>
        <v>5</v>
      </c>
      <c r="H57" s="21" t="n">
        <v>230</v>
      </c>
      <c r="I57" s="22" t="s">
        <v>179</v>
      </c>
      <c r="J57" s="23" t="n">
        <f aca="false">H57*INDEX(MarkupVals,MATCH(I57,MarkupCodes,0))</f>
        <v>333.5</v>
      </c>
      <c r="K57" s="24" t="n">
        <f aca="false">G57*J57</f>
        <v>1667.5</v>
      </c>
      <c r="L57" s="21" t="n">
        <v>320</v>
      </c>
      <c r="M57" s="22" t="s">
        <v>179</v>
      </c>
      <c r="N57" s="23" t="n">
        <f aca="false">L57*INDEX(MarkupVals,MATCH(M57,MarkupCodes,0))</f>
        <v>464</v>
      </c>
      <c r="O57" s="24" t="n">
        <f aca="false">G57*N57</f>
        <v>2320</v>
      </c>
      <c r="P57" s="21" t="n">
        <v>495</v>
      </c>
      <c r="Q57" s="22" t="s">
        <v>179</v>
      </c>
      <c r="R57" s="23" t="n">
        <f aca="false">P57*INDEX(MarkupVals,MATCH(Q57,MarkupCodes,0))</f>
        <v>717.75</v>
      </c>
      <c r="S57" s="24" t="n">
        <f aca="false">G57*R57</f>
        <v>3588.75</v>
      </c>
      <c r="T57" s="25" t="s">
        <v>330</v>
      </c>
      <c r="U57" s="26" t="s">
        <v>335</v>
      </c>
    </row>
    <row r="58" customFormat="false" ht="15" hidden="false" customHeight="false" outlineLevel="0" collapsed="false">
      <c r="A58" s="18" t="n">
        <v>54</v>
      </c>
      <c r="B58" s="18" t="s">
        <v>327</v>
      </c>
      <c r="C58" s="18" t="s">
        <v>263</v>
      </c>
      <c r="D58" s="18" t="s">
        <v>263</v>
      </c>
      <c r="E58" s="18" t="s">
        <v>177</v>
      </c>
      <c r="F58" s="19" t="s">
        <v>92</v>
      </c>
      <c r="G58" s="20" t="n">
        <f aca="false">p_Addition_Windows</f>
        <v>4</v>
      </c>
      <c r="H58" s="21" t="n">
        <v>475</v>
      </c>
      <c r="I58" s="22" t="s">
        <v>179</v>
      </c>
      <c r="J58" s="23" t="n">
        <f aca="false">H58*INDEX(MarkupVals,MATCH(I58,MarkupCodes,0))</f>
        <v>688.75</v>
      </c>
      <c r="K58" s="24" t="n">
        <f aca="false">G58*J58</f>
        <v>2755</v>
      </c>
      <c r="L58" s="21" t="n">
        <v>700</v>
      </c>
      <c r="M58" s="22" t="s">
        <v>179</v>
      </c>
      <c r="N58" s="23" t="n">
        <f aca="false">L58*INDEX(MarkupVals,MATCH(M58,MarkupCodes,0))</f>
        <v>1015</v>
      </c>
      <c r="O58" s="24" t="n">
        <f aca="false">G58*N58</f>
        <v>4060</v>
      </c>
      <c r="P58" s="21" t="n">
        <v>1100</v>
      </c>
      <c r="Q58" s="22" t="s">
        <v>179</v>
      </c>
      <c r="R58" s="23" t="n">
        <f aca="false">P58*INDEX(MarkupVals,MATCH(Q58,MarkupCodes,0))</f>
        <v>1595</v>
      </c>
      <c r="S58" s="24" t="n">
        <f aca="false">G58*R58</f>
        <v>6380</v>
      </c>
      <c r="T58" s="25" t="s">
        <v>330</v>
      </c>
      <c r="U58" s="26" t="s">
        <v>336</v>
      </c>
    </row>
    <row r="59" customFormat="false" ht="15" hidden="false" customHeight="false" outlineLevel="0" collapsed="false">
      <c r="A59" s="18" t="n">
        <v>55</v>
      </c>
      <c r="B59" s="18" t="s">
        <v>327</v>
      </c>
      <c r="C59" s="18" t="s">
        <v>337</v>
      </c>
      <c r="D59" s="18" t="s">
        <v>266</v>
      </c>
      <c r="E59" s="18" t="s">
        <v>177</v>
      </c>
      <c r="F59" s="19" t="s">
        <v>99</v>
      </c>
      <c r="G59" s="20" t="n">
        <f aca="false">p_Addition_Patio_Doors</f>
        <v>1</v>
      </c>
      <c r="H59" s="21" t="n">
        <v>1750</v>
      </c>
      <c r="I59" s="22" t="s">
        <v>179</v>
      </c>
      <c r="J59" s="23" t="n">
        <f aca="false">H59*INDEX(MarkupVals,MATCH(I59,MarkupCodes,0))</f>
        <v>2537.5</v>
      </c>
      <c r="K59" s="24" t="n">
        <f aca="false">G59*J59</f>
        <v>2537.5</v>
      </c>
      <c r="L59" s="21" t="n">
        <v>2500</v>
      </c>
      <c r="M59" s="22" t="s">
        <v>179</v>
      </c>
      <c r="N59" s="23" t="n">
        <f aca="false">L59*INDEX(MarkupVals,MATCH(M59,MarkupCodes,0))</f>
        <v>3625</v>
      </c>
      <c r="O59" s="24" t="n">
        <f aca="false">G59*N59</f>
        <v>3625</v>
      </c>
      <c r="P59" s="21" t="n">
        <v>3000</v>
      </c>
      <c r="Q59" s="22" t="s">
        <v>179</v>
      </c>
      <c r="R59" s="23" t="n">
        <f aca="false">P59*INDEX(MarkupVals,MATCH(Q59,MarkupCodes,0))</f>
        <v>4350</v>
      </c>
      <c r="S59" s="24" t="n">
        <f aca="false">G59*R59</f>
        <v>4350</v>
      </c>
      <c r="T59" s="25" t="s">
        <v>330</v>
      </c>
      <c r="U59" s="26" t="s">
        <v>338</v>
      </c>
    </row>
    <row r="60" customFormat="false" ht="15" hidden="false" customHeight="false" outlineLevel="0" collapsed="false">
      <c r="A60" s="18" t="n">
        <v>56</v>
      </c>
      <c r="B60" s="18" t="s">
        <v>327</v>
      </c>
      <c r="C60" s="18" t="s">
        <v>339</v>
      </c>
      <c r="D60" s="18" t="s">
        <v>293</v>
      </c>
      <c r="E60" s="18" t="s">
        <v>217</v>
      </c>
      <c r="F60" s="19" t="s">
        <v>315</v>
      </c>
      <c r="G60" s="20" t="n">
        <f aca="false">p_Addition_Living_Space*p_Addition_Width*p_Addition_Depth*p_Addition_Stories</f>
        <v>320</v>
      </c>
      <c r="H60" s="21" t="n">
        <v>3.5</v>
      </c>
      <c r="I60" s="22" t="s">
        <v>179</v>
      </c>
      <c r="J60" s="23" t="n">
        <f aca="false">H60*INDEX(MarkupVals,MATCH(I60,MarkupCodes,0))</f>
        <v>5.075</v>
      </c>
      <c r="K60" s="24" t="n">
        <f aca="false">G60*J60</f>
        <v>1624</v>
      </c>
      <c r="L60" s="21" t="n">
        <v>5</v>
      </c>
      <c r="M60" s="22" t="s">
        <v>179</v>
      </c>
      <c r="N60" s="23" t="n">
        <f aca="false">L60*INDEX(MarkupVals,MATCH(M60,MarkupCodes,0))</f>
        <v>7.25</v>
      </c>
      <c r="O60" s="24" t="n">
        <f aca="false">G60*N60</f>
        <v>2320</v>
      </c>
      <c r="P60" s="21" t="n">
        <v>9</v>
      </c>
      <c r="Q60" s="22" t="s">
        <v>179</v>
      </c>
      <c r="R60" s="23" t="n">
        <f aca="false">P60*INDEX(MarkupVals,MATCH(Q60,MarkupCodes,0))</f>
        <v>13.05</v>
      </c>
      <c r="S60" s="24" t="n">
        <f aca="false">G60*R60</f>
        <v>4176</v>
      </c>
      <c r="T60" s="25" t="s">
        <v>330</v>
      </c>
      <c r="U60" s="26" t="s">
        <v>340</v>
      </c>
    </row>
    <row r="61" customFormat="false" ht="901.45" hidden="false" customHeight="false" outlineLevel="0" collapsed="false">
      <c r="A61" s="18" t="n">
        <v>57</v>
      </c>
      <c r="B61" s="18" t="s">
        <v>341</v>
      </c>
      <c r="C61" s="18" t="s">
        <v>342</v>
      </c>
      <c r="D61" s="18" t="s">
        <v>343</v>
      </c>
      <c r="E61" s="18" t="s">
        <v>165</v>
      </c>
      <c r="F61" s="27" t="s">
        <v>344</v>
      </c>
      <c r="G61" s="20" t="n">
        <f aca="false">p_Addition_Contingency_Rate/100*((p_Addition_Permit_Fee)*1.45 + (6 + p_Addition_Living_Space*ROUNDUP(p_Addition_Width*p_Addition_Depth*p_Addition_Stories/30,0))*100 + (1)*217.5 + (4 + ROUNDUP(p_Addition_Width*p_Addition_Depth*p_Addition_Stories/200,0))*100 + (1 + ROUNDUP(p_Addition_Width*p_Addition_Depth*p_Addition_Stories/400,0) + 3*p_Addition_Living_Space)*435 + (4*(1 - p_Addition_Detached) + ROUNDUP(p_Addition_Structure_Removed/3,0) + 8*p_Addition_Wall_Openings)*100 + (p_Addition_Dumpster_Loads)*450 + (2 + 2*p_Addition_Living_Space)*100 + (ROUNDUP((p_Addition_Service_Zone - 1)*(p_Addition_Service_Zone + 2)/8*((6 + p_Addition_Living_Space*ROUNDUP(p_Addition_Width*p_Addition_Depth*p_Addition_Stories/30,0)) + (4 + ROUNDUP(p_Addition_Width*p_Addition_Depth*p_Addition_Stories/200,0)) + (4*(1 - p_Addition_Detached) + ROUNDUP(p_Addition_Structure_Removed/3,0) + 8*p_Addition_Wall_Openings) + (2 + 2*p_Addition_Living_Space) + (16*p_Addition_Site_Excavation) + (3*p_Addition_Piers) + (ROUNDUP(p_Addition_Width*p_Addition_Depth*p_Addition_Stories/6,0) + 8*p_Addition_Wall_Openings + 8*p_Addition_Roof_Tie_In) + (ROUNDUP((p_Addition_Width + 2*p_Addition_Depth + p_Addition_Detached*p_Addition_Width)*p_Addition_Wall_Height*p_Addition_Stories*1.15/100,0) + p_Addition_Extra_Siding_Squares) + (ROUNDUP(2.5*p_Addition_Windows,0)) + (8*p_Addition_Exterior_Doors + 8*p_Addition_Patio_Doors + 3*p_Addition_Interior_Doors) + (9*p_Addition_Plumbing_Fixtures) + (p_Addition_Electrical*(8 + ROUNDUP(p_Addition_Width*p_Addition_Depth*p_Addition_Stories/16,0))) + (p_Addition_Drywall*ROUNDUP(p_Addition_Width*p_Addition_Depth*p_Addition_Stories/12,0)) + (p_Addition_Drywall*ROUNDUP(p_Addition_Width*p_Addition_Depth*p_Addition_Stories/15,0)) + (p_Addition_Living_Space*ROUNDUP(p_Addition_Width*p_Addition_Depth*p_Addition_Stories/25,0)) + (p_Addition_Living_Space*(4 + ROUNDUP((p_Addition_Width + 2*p_Addition_Depth + p_Addition_Detached*p_Addition_Width)*p_Addition_Stories/8,0) + p_Addition_Windows + p_Addition_Exterior_Doors + p_Addition_Patio_Doors)))/8,0))*100 + (p_Addition_Utility_Trench)*17.4 + (16*p_Addition_Site_Excavation)*100 + (2*p_Addition_Site_Excavation)*282.75 + (p_Addition_Crawl_Space*p_Addition_Width*p_Addition_Depth)*26.2015 + (p_Addition_Slab*p_Addition_Width*p_Addition_Depth)*30.45 + (p_Addition_Basement*p_Addition_Width*p_Addition_Depth)*47.85 + (p_Addition_Piers)*725 + (3*p_Addition_Piers)*100 + (p_Addition_Width*p_Addition_Depth*p_Addition_Stories)*32.625 + (p_Addition_Wall_Openings)*580 + (ROUNDUP(p_Addition_Width*p_Addition_Depth*p_Addition_Stories/6,0) + 8*p_Addition_Wall_Openings + 8*p_Addition_Roof_Tie_In)*100 + (p_Addition_Width + p_Addition_Depth + 20)*11.9625 + (p_Addition_Width + p_Addition_Depth + 20)*5.075 + ((p_Addition_Width + 2*p_Addition_Depth + p_Addition_Detached*p_Addition_Width))*11.6 + ((p_Addition_Width + 2*p_Addition_Depth + p_Addition_Detached*p_Addition_Width))*5.85 + (ROUNDUP((p_Addition_Width + 2*p_Addition_Depth + p_Addition_Detached*p_Addition_Width)*p_Addition_Wall_Height*p_Addition_Stories*1.15/100,0) + p_Addition_Extra_Siding_Squares)*100 + (ROUNDUP((p_Addition_Width + 2*p_Addition_Depth + p_Addition_Detached*p_Addition_Width)*p_Addition_Wall_Height*p_Addition_Stories*1.15/100,0) + p_Addition_Extra_Siding_Squares)*232 + (2*(1 - p_Addition_Detached))*217.5 + (ROUNDUP(2.5*p_Addition_Windows,0))*100 + (p_Addition_Exterior_Doors)*1783.5 + (p_Addition_Garage_Doors)*1690 + (p_Addition_Garage_Doors)*152.25 + (8*p_Addition_Exterior_Doors + 8*p_Addition_Patio_Doors + 3*p_Addition_Interior_Doors)*100 + (p_Addition_Plumbing_Fixtures)*362.5 + (9*p_Addition_Plumbing_Fixtures)*100 + (p_Addition_HVAC_Extend)*1703 + (p_Addition_HVAC_New_Unit)*9750 + (p_Addition_Electrical*p_Addition_Width*p_Addition_Depth*p_Addition_Stories)*3.7845 + (p_Addition_Electrical*(8 + ROUNDUP(p_Addition_Width*p_Addition_Depth*p_Addition_Stories/16,0)))*100 + (p_Addition_Drywall*p_Addition_Width*p_Addition_Depth*p_Addition_Stories)*11.076 + (p_Addition_Drywall*p_Addition_Width*p_Addition_Depth*p_Addition_Stories)*1.479 + (p_Addition_Drywall*p_Addition_Width*p_Addition_Depth*p_Addition_Stories)*1.8995 + (p_Addition_Drywall*ROUNDUP(p_Addition_Width*p_Addition_Depth*p_Addition_Stories/12,0))*100 + (p_Addition_Drywall*ROUNDUP(p_Addition_Width*p_Addition_Depth*p_Addition_Stories/60,0))*123.25 + (p_Addition_Drywall*ROUNDUP(p_Addition_Width*p_Addition_Depth*p_Addition_Stories/15,0))*100 + (p_Addition_Interior_Doors)*580 + (p_Addition_Living_Space*p_Addition_Width*p_Addition_Depth*p_Addition_Stories)*1.0875 + (p_Addition_Living_Space*ROUNDUP(p_Addition_Width*p_Addition_Depth*p_Addition_Stories/25,0))*100 + (p_Addition_Living_Space*ROUNDUP((p_Addition_Width + 2*p_Addition_Depth + p_Addition_Detached*p_Addition_Width)*p_Addition_Stories/12,0))*65.9605 + (p_Addition_Living_Space*(p_Addition_Windows + p_Addition_Exterior_Doors + p_Addition_Patio_Doors))*53.8095 + (p_Addition_Living_Space*(4 + ROUNDUP((p_Addition_Width + 2*p_Addition_Depth + p_Addition_Detached*p_Addition_Width)*p_Addition_Stories/8,0) + p_Addition_Windows + p_Addition_Exterior_Doors + p_Addition_Patio_Doors))*100 + (ROUNDUP(p_Addition_Width*p_Addition_Depth*1.25/100,0) + 2*p_Addition_Roof_Tie_In)*304.5 + (ROUNDUP(p_Addition_Width*p_Addition_Depth*1.25/100,0) + 2*p_Addition_Roof_Tie_In)*137.75 + (ROUNDUP((p_Addition_Width + 2*p_Addition_Depth + p_Addition_Detached*p_Addition_Width)*p_Addition_Wall_Height*p_Addition_Stories*1.15/100,0) + p_Addition_Extra_Siding_Squares)*333.5 + (p_Addition_Windows)*688.75 + (p_Addition_Patio_Doors)*2537.5 + (p_Addition_Living_Space*p_Addition_Width*p_Addition_Depth*p_Addition_Stories)*5.075)</f>
        <v>7025.681</v>
      </c>
      <c r="H61" s="21" t="n">
        <v>1</v>
      </c>
      <c r="I61" s="22" t="s">
        <v>345</v>
      </c>
      <c r="J61" s="23" t="n">
        <f aca="false">H61*INDEX(MarkupVals,MATCH(I61,MarkupCodes,0))</f>
        <v>1</v>
      </c>
      <c r="K61" s="24" t="n">
        <f aca="false">G61*J61</f>
        <v>7025.681</v>
      </c>
      <c r="L61" s="21" t="n">
        <v>0</v>
      </c>
      <c r="M61" s="22" t="s">
        <v>345</v>
      </c>
      <c r="N61" s="23" t="n">
        <f aca="false">L61*INDEX(MarkupVals,MATCH(M61,MarkupCodes,0))</f>
        <v>0</v>
      </c>
      <c r="O61" s="24" t="n">
        <f aca="false">G61*N61</f>
        <v>0</v>
      </c>
      <c r="P61" s="21" t="n">
        <v>0</v>
      </c>
      <c r="Q61" s="22" t="s">
        <v>345</v>
      </c>
      <c r="R61" s="23" t="n">
        <f aca="false">P61*INDEX(MarkupVals,MATCH(Q61,MarkupCodes,0))</f>
        <v>0</v>
      </c>
      <c r="S61" s="24" t="n">
        <f aca="false">G61*R61</f>
        <v>0</v>
      </c>
      <c r="T61" s="25"/>
      <c r="U61" s="26" t="s">
        <v>346</v>
      </c>
    </row>
    <row r="62" customFormat="false" ht="901.45" hidden="false" customHeight="false" outlineLevel="0" collapsed="false">
      <c r="A62" s="18" t="n">
        <v>58</v>
      </c>
      <c r="B62" s="18" t="s">
        <v>347</v>
      </c>
      <c r="C62" s="18" t="s">
        <v>348</v>
      </c>
      <c r="D62" s="18" t="s">
        <v>343</v>
      </c>
      <c r="E62" s="18" t="s">
        <v>165</v>
      </c>
      <c r="F62" s="27" t="s">
        <v>349</v>
      </c>
      <c r="G62" s="20" t="n">
        <f aca="false">p_Addition_Contingency_Rate/100*((p_Addition_Permit_Fee)*1.45 + (6 + p_Addition_Living_Space*ROUNDUP(p_Addition_Width*p_Addition_Depth*p_Addition_Stories/30,0))*100 + (1)*217.5 + (4 + ROUNDUP(p_Addition_Width*p_Addition_Depth*p_Addition_Stories/200,0))*100 + (1 + ROUNDUP(p_Addition_Width*p_Addition_Depth*p_Addition_Stories/400,0) + 3*p_Addition_Living_Space)*435 + (4*(1 - p_Addition_Detached) + ROUNDUP(p_Addition_Structure_Removed/3,0) + 8*p_Addition_Wall_Openings)*100 + (p_Addition_Dumpster_Loads)*450 + (2 + 2*p_Addition_Living_Space)*100 + (ROUNDUP((p_Addition_Service_Zone - 1)*(p_Addition_Service_Zone + 2)/8*((6 + p_Addition_Living_Space*ROUNDUP(p_Addition_Width*p_Addition_Depth*p_Addition_Stories/30,0)) + (4 + ROUNDUP(p_Addition_Width*p_Addition_Depth*p_Addition_Stories/200,0)) + (4*(1 - p_Addition_Detached) + ROUNDUP(p_Addition_Structure_Removed/3,0) + 8*p_Addition_Wall_Openings) + (2 + 2*p_Addition_Living_Space) + (16*p_Addition_Site_Excavation) + (3*p_Addition_Piers) + (ROUNDUP(p_Addition_Width*p_Addition_Depth*p_Addition_Stories/6,0) + 8*p_Addition_Wall_Openings + 8*p_Addition_Roof_Tie_In) + (ROUNDUP((p_Addition_Width + 2*p_Addition_Depth + p_Addition_Detached*p_Addition_Width)*p_Addition_Wall_Height*p_Addition_Stories*1.15/100,0) + p_Addition_Extra_Siding_Squares) + (ROUNDUP(2.5*p_Addition_Windows,0)) + (8*p_Addition_Exterior_Doors + 8*p_Addition_Patio_Doors + 3*p_Addition_Interior_Doors) + (9*p_Addition_Plumbing_Fixtures) + (p_Addition_Electrical*(8 + ROUNDUP(p_Addition_Width*p_Addition_Depth*p_Addition_Stories/16,0))) + (p_Addition_Drywall*ROUNDUP(p_Addition_Width*p_Addition_Depth*p_Addition_Stories/12,0)) + (p_Addition_Drywall*ROUNDUP(p_Addition_Width*p_Addition_Depth*p_Addition_Stories/15,0)) + (p_Addition_Living_Space*ROUNDUP(p_Addition_Width*p_Addition_Depth*p_Addition_Stories/25,0)) + (p_Addition_Living_Space*(4 + ROUNDUP((p_Addition_Width + 2*p_Addition_Depth + p_Addition_Detached*p_Addition_Width)*p_Addition_Stories/8,0) + p_Addition_Windows + p_Addition_Exterior_Doors + p_Addition_Patio_Doors)))/8,0))*100 + (p_Addition_Utility_Trench)*17.4 + (16*p_Addition_Site_Excavation)*100 + (2*p_Addition_Site_Excavation)*282.75 + (p_Addition_Crawl_Space*p_Addition_Width*p_Addition_Depth)*26.2015 + (p_Addition_Slab*p_Addition_Width*p_Addition_Depth)*30.45 + (p_Addition_Basement*p_Addition_Width*p_Addition_Depth)*47.85 + (p_Addition_Piers)*725 + (3*p_Addition_Piers)*100 + (p_Addition_Width*p_Addition_Depth*p_Addition_Stories)*32.625 + (p_Addition_Wall_Openings)*580 + (ROUNDUP(p_Addition_Width*p_Addition_Depth*p_Addition_Stories/6,0) + 8*p_Addition_Wall_Openings + 8*p_Addition_Roof_Tie_In)*100 + (p_Addition_Width + p_Addition_Depth + 20)*11.9625 + (p_Addition_Width + p_Addition_Depth + 20)*5.075 + ((p_Addition_Width + 2*p_Addition_Depth + p_Addition_Detached*p_Addition_Width))*11.6 + ((p_Addition_Width + 2*p_Addition_Depth + p_Addition_Detached*p_Addition_Width))*5.85 + (ROUNDUP((p_Addition_Width + 2*p_Addition_Depth + p_Addition_Detached*p_Addition_Width)*p_Addition_Wall_Height*p_Addition_Stories*1.15/100,0) + p_Addition_Extra_Siding_Squares)*100 + (ROUNDUP((p_Addition_Width + 2*p_Addition_Depth + p_Addition_Detached*p_Addition_Width)*p_Addition_Wall_Height*p_Addition_Stories*1.15/100,0) + p_Addition_Extra_Siding_Squares)*232 + (2*(1 - p_Addition_Detached))*217.5 + (ROUNDUP(2.5*p_Addition_Windows,0))*100 + (p_Addition_Exterior_Doors)*1783.5 + (p_Addition_Garage_Doors)*1690 + (p_Addition_Garage_Doors)*152.25 + (8*p_Addition_Exterior_Doors + 8*p_Addition_Patio_Doors + 3*p_Addition_Interior_Doors)*100 + (p_Addition_Plumbing_Fixtures)*362.5 + (9*p_Addition_Plumbing_Fixtures)*100 + (p_Addition_HVAC_Extend)*1703 + (p_Addition_HVAC_New_Unit)*9750 + (p_Addition_Electrical*p_Addition_Width*p_Addition_Depth*p_Addition_Stories)*3.7845 + (p_Addition_Electrical*(8 + ROUNDUP(p_Addition_Width*p_Addition_Depth*p_Addition_Stories/16,0)))*100 + (p_Addition_Drywall*p_Addition_Width*p_Addition_Depth*p_Addition_Stories)*11.076 + (p_Addition_Drywall*p_Addition_Width*p_Addition_Depth*p_Addition_Stories)*1.479 + (p_Addition_Drywall*p_Addition_Width*p_Addition_Depth*p_Addition_Stories)*1.8995 + (p_Addition_Drywall*ROUNDUP(p_Addition_Width*p_Addition_Depth*p_Addition_Stories/12,0))*100 + (p_Addition_Drywall*ROUNDUP(p_Addition_Width*p_Addition_Depth*p_Addition_Stories/60,0))*123.25 + (p_Addition_Drywall*ROUNDUP(p_Addition_Width*p_Addition_Depth*p_Addition_Stories/15,0))*100 + (p_Addition_Interior_Doors)*580 + (p_Addition_Living_Space*p_Addition_Width*p_Addition_Depth*p_Addition_Stories)*1.0875 + (p_Addition_Living_Space*ROUNDUP(p_Addition_Width*p_Addition_Depth*p_Addition_Stories/25,0))*100 + (p_Addition_Living_Space*ROUNDUP((p_Addition_Width + 2*p_Addition_Depth + p_Addition_Detached*p_Addition_Width)*p_Addition_Stories/12,0))*65.9605 + (p_Addition_Living_Space*(p_Addition_Windows + p_Addition_Exterior_Doors + p_Addition_Patio_Doors))*53.8095 + (p_Addition_Living_Space*(4 + ROUNDUP((p_Addition_Width + 2*p_Addition_Depth + p_Addition_Detached*p_Addition_Width)*p_Addition_Stories/8,0) + p_Addition_Windows + p_Addition_Exterior_Doors + p_Addition_Patio_Doors))*100 + (ROUNDUP(p_Addition_Width*p_Addition_Depth*1.25/100,0) + 2*p_Addition_Roof_Tie_In)*355.25 + (ROUNDUP(p_Addition_Width*p_Addition_Depth*1.25/100,0) + 2*p_Addition_Roof_Tie_In)*137.75 + (ROUNDUP((p_Addition_Width + 2*p_Addition_Depth + p_Addition_Detached*p_Addition_Width)*p_Addition_Wall_Height*p_Addition_Stories*1.15/100,0) + p_Addition_Extra_Siding_Squares)*464 + (p_Addition_Windows)*1015 + (p_Addition_Patio_Doors)*3625 + (p_Addition_Living_Space*p_Addition_Width*p_Addition_Depth*p_Addition_Stories)*7.25)</f>
        <v>7430.231</v>
      </c>
      <c r="H62" s="21" t="n">
        <v>0</v>
      </c>
      <c r="I62" s="22" t="s">
        <v>345</v>
      </c>
      <c r="J62" s="23" t="n">
        <f aca="false">H62*INDEX(MarkupVals,MATCH(I62,MarkupCodes,0))</f>
        <v>0</v>
      </c>
      <c r="K62" s="24" t="n">
        <f aca="false">G62*J62</f>
        <v>0</v>
      </c>
      <c r="L62" s="21" t="n">
        <v>1</v>
      </c>
      <c r="M62" s="22" t="s">
        <v>345</v>
      </c>
      <c r="N62" s="23" t="n">
        <f aca="false">L62*INDEX(MarkupVals,MATCH(M62,MarkupCodes,0))</f>
        <v>1</v>
      </c>
      <c r="O62" s="24" t="n">
        <f aca="false">G62*N62</f>
        <v>7430.231</v>
      </c>
      <c r="P62" s="21" t="n">
        <v>0</v>
      </c>
      <c r="Q62" s="22" t="s">
        <v>345</v>
      </c>
      <c r="R62" s="23" t="n">
        <f aca="false">P62*INDEX(MarkupVals,MATCH(Q62,MarkupCodes,0))</f>
        <v>0</v>
      </c>
      <c r="S62" s="24" t="n">
        <f aca="false">G62*R62</f>
        <v>0</v>
      </c>
      <c r="T62" s="25"/>
      <c r="U62" s="26" t="s">
        <v>346</v>
      </c>
    </row>
    <row r="63" customFormat="false" ht="901.45" hidden="false" customHeight="false" outlineLevel="0" collapsed="false">
      <c r="A63" s="18" t="n">
        <v>59</v>
      </c>
      <c r="B63" s="18" t="s">
        <v>350</v>
      </c>
      <c r="C63" s="18" t="s">
        <v>351</v>
      </c>
      <c r="D63" s="18" t="s">
        <v>343</v>
      </c>
      <c r="E63" s="18" t="s">
        <v>165</v>
      </c>
      <c r="F63" s="27" t="s">
        <v>352</v>
      </c>
      <c r="G63" s="20" t="n">
        <f aca="false">p_Addition_Contingency_Rate/100*((p_Addition_Permit_Fee)*1.45 + (6 + p_Addition_Living_Space*ROUNDUP(p_Addition_Width*p_Addition_Depth*p_Addition_Stories/30,0))*100 + (1)*217.5 + (4 + ROUNDUP(p_Addition_Width*p_Addition_Depth*p_Addition_Stories/200,0))*100 + (1 + ROUNDUP(p_Addition_Width*p_Addition_Depth*p_Addition_Stories/400,0) + 3*p_Addition_Living_Space)*435 + (4*(1 - p_Addition_Detached) + ROUNDUP(p_Addition_Structure_Removed/3,0) + 8*p_Addition_Wall_Openings)*100 + (p_Addition_Dumpster_Loads)*450 + (2 + 2*p_Addition_Living_Space)*100 + (ROUNDUP((p_Addition_Service_Zone - 1)*(p_Addition_Service_Zone + 2)/8*((6 + p_Addition_Living_Space*ROUNDUP(p_Addition_Width*p_Addition_Depth*p_Addition_Stories/30,0)) + (4 + ROUNDUP(p_Addition_Width*p_Addition_Depth*p_Addition_Stories/200,0)) + (4*(1 - p_Addition_Detached) + ROUNDUP(p_Addition_Structure_Removed/3,0) + 8*p_Addition_Wall_Openings) + (2 + 2*p_Addition_Living_Space) + (16*p_Addition_Site_Excavation) + (3*p_Addition_Piers) + (ROUNDUP(p_Addition_Width*p_Addition_Depth*p_Addition_Stories/6,0) + 8*p_Addition_Wall_Openings + 8*p_Addition_Roof_Tie_In) + (ROUNDUP((p_Addition_Width + 2*p_Addition_Depth + p_Addition_Detached*p_Addition_Width)*p_Addition_Wall_Height*p_Addition_Stories*1.15/100,0) + p_Addition_Extra_Siding_Squares) + (ROUNDUP(2.5*p_Addition_Windows,0)) + (8*p_Addition_Exterior_Doors + 8*p_Addition_Patio_Doors + 3*p_Addition_Interior_Doors) + (9*p_Addition_Plumbing_Fixtures) + (p_Addition_Electrical*(8 + ROUNDUP(p_Addition_Width*p_Addition_Depth*p_Addition_Stories/16,0))) + (p_Addition_Drywall*ROUNDUP(p_Addition_Width*p_Addition_Depth*p_Addition_Stories/12,0)) + (p_Addition_Drywall*ROUNDUP(p_Addition_Width*p_Addition_Depth*p_Addition_Stories/15,0)) + (p_Addition_Living_Space*ROUNDUP(p_Addition_Width*p_Addition_Depth*p_Addition_Stories/25,0)) + (p_Addition_Living_Space*(4 + ROUNDUP((p_Addition_Width + 2*p_Addition_Depth + p_Addition_Detached*p_Addition_Width)*p_Addition_Stories/8,0) + p_Addition_Windows + p_Addition_Exterior_Doors + p_Addition_Patio_Doors)))/8,0))*100 + (p_Addition_Utility_Trench)*17.4 + (16*p_Addition_Site_Excavation)*100 + (2*p_Addition_Site_Excavation)*282.75 + (p_Addition_Crawl_Space*p_Addition_Width*p_Addition_Depth)*26.2015 + (p_Addition_Slab*p_Addition_Width*p_Addition_Depth)*30.45 + (p_Addition_Basement*p_Addition_Width*p_Addition_Depth)*47.85 + (p_Addition_Piers)*725 + (3*p_Addition_Piers)*100 + (p_Addition_Width*p_Addition_Depth*p_Addition_Stories)*32.625 + (p_Addition_Wall_Openings)*580 + (ROUNDUP(p_Addition_Width*p_Addition_Depth*p_Addition_Stories/6,0) + 8*p_Addition_Wall_Openings + 8*p_Addition_Roof_Tie_In)*100 + (p_Addition_Width + p_Addition_Depth + 20)*11.9625 + (p_Addition_Width + p_Addition_Depth + 20)*5.075 + ((p_Addition_Width + 2*p_Addition_Depth + p_Addition_Detached*p_Addition_Width))*11.6 + ((p_Addition_Width + 2*p_Addition_Depth + p_Addition_Detached*p_Addition_Width))*5.85 + (ROUNDUP((p_Addition_Width + 2*p_Addition_Depth + p_Addition_Detached*p_Addition_Width)*p_Addition_Wall_Height*p_Addition_Stories*1.15/100,0) + p_Addition_Extra_Siding_Squares)*100 + (ROUNDUP((p_Addition_Width + 2*p_Addition_Depth + p_Addition_Detached*p_Addition_Width)*p_Addition_Wall_Height*p_Addition_Stories*1.15/100,0) + p_Addition_Extra_Siding_Squares)*232 + (2*(1 - p_Addition_Detached))*217.5 + (ROUNDUP(2.5*p_Addition_Windows,0))*100 + (p_Addition_Exterior_Doors)*1783.5 + (p_Addition_Garage_Doors)*1690 + (p_Addition_Garage_Doors)*152.25 + (8*p_Addition_Exterior_Doors + 8*p_Addition_Patio_Doors + 3*p_Addition_Interior_Doors)*100 + (p_Addition_Plumbing_Fixtures)*362.5 + (9*p_Addition_Plumbing_Fixtures)*100 + (p_Addition_HVAC_Extend)*1703 + (p_Addition_HVAC_New_Unit)*9750 + (p_Addition_Electrical*p_Addition_Width*p_Addition_Depth*p_Addition_Stories)*3.7845 + (p_Addition_Electrical*(8 + ROUNDUP(p_Addition_Width*p_Addition_Depth*p_Addition_Stories/16,0)))*100 + (p_Addition_Drywall*p_Addition_Width*p_Addition_Depth*p_Addition_Stories)*11.076 + (p_Addition_Drywall*p_Addition_Width*p_Addition_Depth*p_Addition_Stories)*1.479 + (p_Addition_Drywall*p_Addition_Width*p_Addition_Depth*p_Addition_Stories)*1.8995 + (p_Addition_Drywall*ROUNDUP(p_Addition_Width*p_Addition_Depth*p_Addition_Stories/12,0))*100 + (p_Addition_Drywall*ROUNDUP(p_Addition_Width*p_Addition_Depth*p_Addition_Stories/60,0))*123.25 + (p_Addition_Drywall*ROUNDUP(p_Addition_Width*p_Addition_Depth*p_Addition_Stories/15,0))*100 + (p_Addition_Interior_Doors)*580 + (p_Addition_Living_Space*p_Addition_Width*p_Addition_Depth*p_Addition_Stories)*1.0875 + (p_Addition_Living_Space*ROUNDUP(p_Addition_Width*p_Addition_Depth*p_Addition_Stories/25,0))*100 + (p_Addition_Living_Space*ROUNDUP((p_Addition_Width + 2*p_Addition_Depth + p_Addition_Detached*p_Addition_Width)*p_Addition_Stories/12,0))*65.9605 + (p_Addition_Living_Space*(p_Addition_Windows + p_Addition_Exterior_Doors + p_Addition_Patio_Doors))*53.8095 + (p_Addition_Living_Space*(4 + ROUNDUP((p_Addition_Width + 2*p_Addition_Depth + p_Addition_Detached*p_Addition_Width)*p_Addition_Stories/8,0) + p_Addition_Windows + p_Addition_Exterior_Doors + p_Addition_Patio_Doors))*100 + (ROUNDUP(p_Addition_Width*p_Addition_Depth*1.25/100,0) + 2*p_Addition_Roof_Tie_In)*453.85 + (ROUNDUP(p_Addition_Width*p_Addition_Depth*1.25/100,0) + 2*p_Addition_Roof_Tie_In)*290 + (ROUNDUP((p_Addition_Width + 2*p_Addition_Depth + p_Addition_Detached*p_Addition_Width)*p_Addition_Wall_Height*p_Addition_Stories*1.15/100,0) + p_Addition_Extra_Siding_Squares)*717.75 + (p_Addition_Windows)*1595 + (p_Addition_Patio_Doors)*4350 + (p_Addition_Living_Space*p_Addition_Width*p_Addition_Depth*p_Addition_Stories)*13.05)</f>
        <v>8197.716</v>
      </c>
      <c r="H63" s="21" t="n">
        <v>0</v>
      </c>
      <c r="I63" s="22" t="s">
        <v>345</v>
      </c>
      <c r="J63" s="23" t="n">
        <f aca="false">H63*INDEX(MarkupVals,MATCH(I63,MarkupCodes,0))</f>
        <v>0</v>
      </c>
      <c r="K63" s="24" t="n">
        <f aca="false">G63*J63</f>
        <v>0</v>
      </c>
      <c r="L63" s="21" t="n">
        <v>0</v>
      </c>
      <c r="M63" s="22" t="s">
        <v>345</v>
      </c>
      <c r="N63" s="23" t="n">
        <f aca="false">L63*INDEX(MarkupVals,MATCH(M63,MarkupCodes,0))</f>
        <v>0</v>
      </c>
      <c r="O63" s="24" t="n">
        <f aca="false">G63*N63</f>
        <v>0</v>
      </c>
      <c r="P63" s="21" t="n">
        <v>1</v>
      </c>
      <c r="Q63" s="22" t="s">
        <v>345</v>
      </c>
      <c r="R63" s="23" t="n">
        <f aca="false">P63*INDEX(MarkupVals,MATCH(Q63,MarkupCodes,0))</f>
        <v>1</v>
      </c>
      <c r="S63" s="24" t="n">
        <f aca="false">G63*R63</f>
        <v>8197.716</v>
      </c>
      <c r="T63" s="25"/>
      <c r="U63" s="26" t="s">
        <v>346</v>
      </c>
    </row>
    <row r="64" customFormat="false" ht="15" hidden="false" customHeight="false" outlineLevel="0" collapsed="false">
      <c r="A64" s="6"/>
      <c r="B64" s="6"/>
      <c r="C64" s="15" t="s">
        <v>353</v>
      </c>
      <c r="D64" s="6"/>
      <c r="E64" s="6"/>
      <c r="F64" s="6"/>
      <c r="G64" s="6"/>
      <c r="H64" s="6"/>
      <c r="I64" s="6"/>
      <c r="J64" s="6"/>
      <c r="K64" s="16" t="n">
        <f aca="false">SUM(K5:K63)</f>
        <v>77282.491</v>
      </c>
      <c r="L64" s="6"/>
      <c r="M64" s="6"/>
      <c r="N64" s="6"/>
      <c r="O64" s="16" t="n">
        <f aca="false">SUM(O5:O63)</f>
        <v>81732.541</v>
      </c>
      <c r="P64" s="6"/>
      <c r="Q64" s="6"/>
      <c r="R64" s="6"/>
      <c r="S64" s="16" t="n">
        <f aca="false">SUM(S5:S63)</f>
        <v>90174.876</v>
      </c>
      <c r="T64" s="6"/>
      <c r="U6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5" t="s">
        <v>354</v>
      </c>
      <c r="B1" s="6"/>
      <c r="C1" s="6"/>
      <c r="D1" s="6"/>
      <c r="E1" s="6"/>
    </row>
    <row r="2" customFormat="false" ht="15" hidden="false" customHeight="false" outlineLevel="0" collapsed="false">
      <c r="A2" s="7" t="s">
        <v>355</v>
      </c>
      <c r="B2" s="6"/>
      <c r="C2" s="6"/>
      <c r="D2" s="6"/>
      <c r="E2" s="6"/>
    </row>
    <row r="3" customFormat="false" ht="15" hidden="false" customHeight="false" outlineLevel="0" collapsed="false">
      <c r="A3" s="6"/>
      <c r="B3" s="6"/>
      <c r="C3" s="6"/>
      <c r="D3" s="6"/>
      <c r="E3" s="6"/>
    </row>
    <row r="4" customFormat="false" ht="15" hidden="false" customHeight="false" outlineLevel="0" collapsed="false">
      <c r="A4" s="8" t="s">
        <v>356</v>
      </c>
      <c r="B4" s="8" t="s">
        <v>357</v>
      </c>
      <c r="C4" s="8" t="s">
        <v>358</v>
      </c>
      <c r="D4" s="8" t="s">
        <v>359</v>
      </c>
      <c r="E4" s="8" t="s">
        <v>360</v>
      </c>
    </row>
    <row r="5" customFormat="false" ht="68.65" hidden="false" customHeight="false" outlineLevel="0" collapsed="false">
      <c r="A5" s="27" t="s">
        <v>36</v>
      </c>
      <c r="B5" s="28" t="s">
        <v>361</v>
      </c>
      <c r="C5" s="28" t="n">
        <v>20</v>
      </c>
      <c r="D5" s="28" t="s">
        <v>37</v>
      </c>
      <c r="E5" s="28" t="s">
        <v>362</v>
      </c>
    </row>
    <row r="6" customFormat="false" ht="68.65" hidden="false" customHeight="false" outlineLevel="0" collapsed="false">
      <c r="A6" s="27" t="s">
        <v>40</v>
      </c>
      <c r="B6" s="28" t="s">
        <v>361</v>
      </c>
      <c r="C6" s="28" t="n">
        <v>16</v>
      </c>
      <c r="D6" s="28" t="s">
        <v>41</v>
      </c>
      <c r="E6" s="28" t="s">
        <v>362</v>
      </c>
    </row>
    <row r="7" customFormat="false" ht="46.25" hidden="false" customHeight="false" outlineLevel="0" collapsed="false">
      <c r="A7" s="27" t="s">
        <v>44</v>
      </c>
      <c r="B7" s="28" t="s">
        <v>361</v>
      </c>
      <c r="C7" s="28" t="n">
        <v>1</v>
      </c>
      <c r="D7" s="28" t="s">
        <v>45</v>
      </c>
      <c r="E7" s="28" t="s">
        <v>363</v>
      </c>
    </row>
    <row r="8" customFormat="false" ht="15" hidden="false" customHeight="false" outlineLevel="0" collapsed="false">
      <c r="A8" s="27" t="s">
        <v>48</v>
      </c>
      <c r="B8" s="28" t="s">
        <v>361</v>
      </c>
      <c r="C8" s="28" t="n">
        <v>8</v>
      </c>
      <c r="D8" s="28" t="s">
        <v>49</v>
      </c>
      <c r="E8" s="28" t="s">
        <v>364</v>
      </c>
    </row>
    <row r="9" customFormat="false" ht="23.85" hidden="false" customHeight="false" outlineLevel="0" collapsed="false">
      <c r="A9" s="27" t="s">
        <v>52</v>
      </c>
      <c r="B9" s="28" t="s">
        <v>361</v>
      </c>
      <c r="C9" s="28" t="n">
        <v>0</v>
      </c>
      <c r="D9" s="28" t="s">
        <v>53</v>
      </c>
      <c r="E9" s="28" t="s">
        <v>365</v>
      </c>
    </row>
    <row r="10" customFormat="false" ht="15" hidden="false" customHeight="false" outlineLevel="0" collapsed="false">
      <c r="A10" s="27" t="s">
        <v>56</v>
      </c>
      <c r="B10" s="28" t="s">
        <v>361</v>
      </c>
      <c r="C10" s="28" t="n">
        <v>0</v>
      </c>
      <c r="D10" s="28" t="s">
        <v>57</v>
      </c>
      <c r="E10" s="28" t="s">
        <v>215</v>
      </c>
    </row>
    <row r="11" customFormat="false" ht="15" hidden="false" customHeight="false" outlineLevel="0" collapsed="false">
      <c r="A11" s="27" t="s">
        <v>60</v>
      </c>
      <c r="B11" s="28" t="s">
        <v>361</v>
      </c>
      <c r="C11" s="28" t="n">
        <v>0</v>
      </c>
      <c r="D11" s="28" t="s">
        <v>61</v>
      </c>
      <c r="E11" s="28" t="s">
        <v>220</v>
      </c>
    </row>
    <row r="12" customFormat="false" ht="15" hidden="false" customHeight="false" outlineLevel="0" collapsed="false">
      <c r="A12" s="27" t="s">
        <v>64</v>
      </c>
      <c r="B12" s="28" t="s">
        <v>361</v>
      </c>
      <c r="C12" s="28" t="n">
        <v>0</v>
      </c>
      <c r="D12" s="28" t="s">
        <v>65</v>
      </c>
      <c r="E12" s="28" t="s">
        <v>223</v>
      </c>
    </row>
    <row r="13" customFormat="false" ht="15" hidden="false" customHeight="false" outlineLevel="0" collapsed="false">
      <c r="A13" s="27" t="s">
        <v>68</v>
      </c>
      <c r="B13" s="28" t="s">
        <v>361</v>
      </c>
      <c r="C13" s="28" t="n">
        <v>0</v>
      </c>
      <c r="D13" s="28" t="s">
        <v>69</v>
      </c>
      <c r="E13" s="28" t="s">
        <v>366</v>
      </c>
    </row>
    <row r="14" customFormat="false" ht="23.85" hidden="false" customHeight="false" outlineLevel="0" collapsed="false">
      <c r="A14" s="27" t="s">
        <v>71</v>
      </c>
      <c r="B14" s="28" t="s">
        <v>361</v>
      </c>
      <c r="C14" s="28" t="n">
        <v>0</v>
      </c>
      <c r="D14" s="28" t="s">
        <v>72</v>
      </c>
      <c r="E14" s="28" t="s">
        <v>367</v>
      </c>
    </row>
    <row r="15" customFormat="false" ht="15" hidden="false" customHeight="false" outlineLevel="0" collapsed="false">
      <c r="A15" s="27" t="s">
        <v>75</v>
      </c>
      <c r="B15" s="28" t="s">
        <v>361</v>
      </c>
      <c r="C15" s="28" t="n">
        <v>1</v>
      </c>
      <c r="D15" s="28" t="s">
        <v>76</v>
      </c>
      <c r="E15" s="28" t="s">
        <v>368</v>
      </c>
    </row>
    <row r="16" customFormat="false" ht="15" hidden="false" customHeight="false" outlineLevel="0" collapsed="false">
      <c r="A16" s="27" t="s">
        <v>79</v>
      </c>
      <c r="B16" s="28" t="s">
        <v>361</v>
      </c>
      <c r="C16" s="28" t="n">
        <v>1</v>
      </c>
      <c r="D16" s="28" t="s">
        <v>80</v>
      </c>
      <c r="E16" s="28" t="s">
        <v>369</v>
      </c>
    </row>
    <row r="17" customFormat="false" ht="23.85" hidden="false" customHeight="false" outlineLevel="0" collapsed="false">
      <c r="A17" s="27" t="s">
        <v>83</v>
      </c>
      <c r="B17" s="28" t="s">
        <v>361</v>
      </c>
      <c r="C17" s="28" t="n">
        <v>1</v>
      </c>
      <c r="D17" s="28" t="s">
        <v>84</v>
      </c>
      <c r="E17" s="28" t="s">
        <v>370</v>
      </c>
    </row>
    <row r="18" customFormat="false" ht="23.85" hidden="false" customHeight="false" outlineLevel="0" collapsed="false">
      <c r="A18" s="27" t="s">
        <v>86</v>
      </c>
      <c r="B18" s="28" t="s">
        <v>361</v>
      </c>
      <c r="C18" s="28" t="n">
        <v>1</v>
      </c>
      <c r="D18" s="28" t="s">
        <v>87</v>
      </c>
      <c r="E18" s="28" t="s">
        <v>371</v>
      </c>
    </row>
    <row r="19" customFormat="false" ht="15" hidden="false" customHeight="false" outlineLevel="0" collapsed="false">
      <c r="A19" s="27" t="s">
        <v>90</v>
      </c>
      <c r="B19" s="28" t="s">
        <v>361</v>
      </c>
      <c r="C19" s="28" t="n">
        <v>3</v>
      </c>
      <c r="D19" s="28" t="s">
        <v>91</v>
      </c>
      <c r="E19" s="28" t="s">
        <v>372</v>
      </c>
    </row>
    <row r="20" customFormat="false" ht="15" hidden="false" customHeight="false" outlineLevel="0" collapsed="false">
      <c r="A20" s="27" t="s">
        <v>94</v>
      </c>
      <c r="B20" s="28" t="s">
        <v>361</v>
      </c>
      <c r="C20" s="28" t="n">
        <v>0</v>
      </c>
      <c r="D20" s="28" t="s">
        <v>95</v>
      </c>
      <c r="E20" s="28" t="s">
        <v>373</v>
      </c>
    </row>
    <row r="21" customFormat="false" ht="15" hidden="false" customHeight="false" outlineLevel="0" collapsed="false">
      <c r="A21" s="27" t="s">
        <v>97</v>
      </c>
      <c r="B21" s="28" t="s">
        <v>361</v>
      </c>
      <c r="C21" s="28" t="n">
        <v>0</v>
      </c>
      <c r="D21" s="28" t="s">
        <v>98</v>
      </c>
      <c r="E21" s="28" t="s">
        <v>374</v>
      </c>
    </row>
    <row r="22" customFormat="false" ht="15" hidden="false" customHeight="false" outlineLevel="0" collapsed="false">
      <c r="A22" s="27" t="s">
        <v>100</v>
      </c>
      <c r="B22" s="28" t="s">
        <v>361</v>
      </c>
      <c r="C22" s="28" t="n">
        <v>0</v>
      </c>
      <c r="D22" s="28" t="s">
        <v>101</v>
      </c>
      <c r="E22" s="28" t="s">
        <v>375</v>
      </c>
    </row>
    <row r="23" customFormat="false" ht="15" hidden="false" customHeight="false" outlineLevel="0" collapsed="false">
      <c r="A23" s="27" t="s">
        <v>103</v>
      </c>
      <c r="B23" s="28" t="s">
        <v>361</v>
      </c>
      <c r="C23" s="28" t="n">
        <v>0</v>
      </c>
      <c r="D23" s="28" t="s">
        <v>104</v>
      </c>
      <c r="E23" s="28" t="s">
        <v>376</v>
      </c>
    </row>
    <row r="24" customFormat="false" ht="15" hidden="false" customHeight="false" outlineLevel="0" collapsed="false">
      <c r="A24" s="27" t="s">
        <v>106</v>
      </c>
      <c r="B24" s="28" t="s">
        <v>361</v>
      </c>
      <c r="C24" s="28" t="n">
        <v>1</v>
      </c>
      <c r="D24" s="28" t="s">
        <v>107</v>
      </c>
      <c r="E24" s="28" t="s">
        <v>377</v>
      </c>
    </row>
    <row r="25" customFormat="false" ht="23.85" hidden="false" customHeight="false" outlineLevel="0" collapsed="false">
      <c r="A25" s="27" t="s">
        <v>109</v>
      </c>
      <c r="B25" s="28" t="s">
        <v>361</v>
      </c>
      <c r="C25" s="28" t="n">
        <v>0</v>
      </c>
      <c r="D25" s="28" t="s">
        <v>110</v>
      </c>
      <c r="E25" s="28" t="s">
        <v>378</v>
      </c>
    </row>
    <row r="26" customFormat="false" ht="15" hidden="false" customHeight="false" outlineLevel="0" collapsed="false">
      <c r="A26" s="27" t="s">
        <v>112</v>
      </c>
      <c r="B26" s="28" t="s">
        <v>361</v>
      </c>
      <c r="C26" s="28" t="n">
        <v>0</v>
      </c>
      <c r="D26" s="28" t="s">
        <v>113</v>
      </c>
      <c r="E26" s="28" t="s">
        <v>279</v>
      </c>
    </row>
    <row r="27" customFormat="false" ht="15" hidden="false" customHeight="false" outlineLevel="0" collapsed="false">
      <c r="A27" s="27" t="s">
        <v>115</v>
      </c>
      <c r="B27" s="28" t="s">
        <v>361</v>
      </c>
      <c r="C27" s="28" t="n">
        <v>0</v>
      </c>
      <c r="D27" s="28" t="s">
        <v>116</v>
      </c>
      <c r="E27" s="28" t="s">
        <v>281</v>
      </c>
    </row>
    <row r="28" customFormat="false" ht="15" hidden="false" customHeight="false" outlineLevel="0" collapsed="false">
      <c r="A28" s="27" t="s">
        <v>118</v>
      </c>
      <c r="B28" s="28" t="s">
        <v>361</v>
      </c>
      <c r="C28" s="28" t="n">
        <v>0</v>
      </c>
      <c r="D28" s="28" t="s">
        <v>119</v>
      </c>
      <c r="E28" s="28" t="s">
        <v>364</v>
      </c>
    </row>
    <row r="29" customFormat="false" ht="15" hidden="false" customHeight="false" outlineLevel="0" collapsed="false">
      <c r="A29" s="27" t="s">
        <v>121</v>
      </c>
      <c r="B29" s="28" t="s">
        <v>361</v>
      </c>
      <c r="C29" s="28" t="n">
        <v>0</v>
      </c>
      <c r="D29" s="28" t="s">
        <v>122</v>
      </c>
      <c r="E29" s="28" t="s">
        <v>379</v>
      </c>
    </row>
    <row r="30" customFormat="false" ht="15" hidden="false" customHeight="false" outlineLevel="0" collapsed="false">
      <c r="A30" s="27" t="s">
        <v>124</v>
      </c>
      <c r="B30" s="28" t="s">
        <v>361</v>
      </c>
      <c r="C30" s="28" t="n">
        <v>0</v>
      </c>
      <c r="D30" s="28" t="s">
        <v>125</v>
      </c>
      <c r="E30" s="28" t="s">
        <v>202</v>
      </c>
    </row>
    <row r="31" customFormat="false" ht="15" hidden="false" customHeight="false" outlineLevel="0" collapsed="false">
      <c r="A31" s="27" t="s">
        <v>127</v>
      </c>
      <c r="B31" s="28" t="s">
        <v>361</v>
      </c>
      <c r="C31" s="28" t="n">
        <v>1</v>
      </c>
      <c r="D31" s="28" t="s">
        <v>128</v>
      </c>
      <c r="E31" s="28" t="s">
        <v>191</v>
      </c>
    </row>
    <row r="32" customFormat="false" ht="23.85" hidden="false" customHeight="false" outlineLevel="0" collapsed="false">
      <c r="A32" s="27" t="s">
        <v>130</v>
      </c>
      <c r="B32" s="28" t="s">
        <v>361</v>
      </c>
      <c r="C32" s="28" t="n">
        <v>1</v>
      </c>
      <c r="D32" s="28" t="s">
        <v>131</v>
      </c>
      <c r="E32" s="28" t="s">
        <v>197</v>
      </c>
    </row>
    <row r="33" customFormat="false" ht="15" hidden="false" customHeight="false" outlineLevel="0" collapsed="false">
      <c r="A33" s="27" t="s">
        <v>133</v>
      </c>
      <c r="B33" s="28" t="s">
        <v>361</v>
      </c>
      <c r="C33" s="28" t="n">
        <v>10</v>
      </c>
      <c r="D33" s="28" t="s">
        <v>134</v>
      </c>
      <c r="E33" s="28"/>
    </row>
    <row r="34" customFormat="false" ht="23.85" hidden="false" customHeight="false" outlineLevel="0" collapsed="false">
      <c r="A34" s="27" t="s">
        <v>136</v>
      </c>
      <c r="B34" s="28" t="s">
        <v>361</v>
      </c>
      <c r="C34" s="28" t="n">
        <v>200</v>
      </c>
      <c r="D34" s="28" t="s">
        <v>137</v>
      </c>
      <c r="E34" s="2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380</v>
      </c>
      <c r="B1" s="6"/>
      <c r="C1" s="6"/>
      <c r="D1" s="6"/>
    </row>
    <row r="2" customFormat="false" ht="15" hidden="false" customHeight="false" outlineLevel="0" collapsed="false">
      <c r="A2" s="6"/>
      <c r="B2" s="6"/>
      <c r="C2" s="6"/>
      <c r="D2" s="6"/>
    </row>
    <row r="3" customFormat="false" ht="15" hidden="false" customHeight="false" outlineLevel="0" collapsed="false">
      <c r="A3" s="8" t="s">
        <v>381</v>
      </c>
      <c r="B3" s="8" t="s">
        <v>382</v>
      </c>
      <c r="C3" s="8" t="s">
        <v>383</v>
      </c>
      <c r="D3" s="8" t="s">
        <v>161</v>
      </c>
    </row>
    <row r="4" customFormat="false" ht="15" hidden="false" customHeight="false" outlineLevel="0" collapsed="false">
      <c r="A4" s="18" t="s">
        <v>173</v>
      </c>
      <c r="B4" s="18" t="s">
        <v>384</v>
      </c>
      <c r="C4" s="29" t="n">
        <f aca="false">C12/C11</f>
        <v>1.81818181818182</v>
      </c>
      <c r="D4" s="26" t="s">
        <v>385</v>
      </c>
    </row>
    <row r="5" customFormat="false" ht="15" hidden="false" customHeight="false" outlineLevel="0" collapsed="false">
      <c r="A5" s="18" t="s">
        <v>179</v>
      </c>
      <c r="B5" s="18" t="s">
        <v>386</v>
      </c>
      <c r="C5" s="30" t="n">
        <v>1.45</v>
      </c>
      <c r="D5" s="26" t="s">
        <v>387</v>
      </c>
    </row>
    <row r="6" customFormat="false" ht="15" hidden="false" customHeight="false" outlineLevel="0" collapsed="false">
      <c r="A6" s="18" t="s">
        <v>252</v>
      </c>
      <c r="B6" s="18" t="s">
        <v>388</v>
      </c>
      <c r="C6" s="30" t="n">
        <v>1.3</v>
      </c>
      <c r="D6" s="26" t="s">
        <v>389</v>
      </c>
    </row>
    <row r="7" customFormat="false" ht="15" hidden="false" customHeight="false" outlineLevel="0" collapsed="false">
      <c r="A7" s="18" t="s">
        <v>166</v>
      </c>
      <c r="B7" s="18" t="s">
        <v>390</v>
      </c>
      <c r="C7" s="30" t="n">
        <v>1.45</v>
      </c>
      <c r="D7" s="26" t="s">
        <v>391</v>
      </c>
    </row>
    <row r="8" customFormat="false" ht="15" hidden="false" customHeight="false" outlineLevel="0" collapsed="false">
      <c r="A8" s="18" t="s">
        <v>246</v>
      </c>
      <c r="B8" s="18" t="s">
        <v>392</v>
      </c>
      <c r="C8" s="30" t="n">
        <v>1.45</v>
      </c>
      <c r="D8" s="26" t="s">
        <v>393</v>
      </c>
    </row>
    <row r="9" customFormat="false" ht="15" hidden="false" customHeight="false" outlineLevel="0" collapsed="false">
      <c r="A9" s="18" t="s">
        <v>345</v>
      </c>
      <c r="B9" s="18" t="s">
        <v>343</v>
      </c>
      <c r="C9" s="30" t="n">
        <v>1</v>
      </c>
      <c r="D9" s="26" t="s">
        <v>394</v>
      </c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6" t="s">
        <v>395</v>
      </c>
      <c r="B11" s="6"/>
      <c r="C11" s="31" t="n">
        <v>55</v>
      </c>
      <c r="D11" s="7" t="s">
        <v>396</v>
      </c>
    </row>
    <row r="12" customFormat="false" ht="15" hidden="false" customHeight="false" outlineLevel="0" collapsed="false">
      <c r="A12" s="6" t="s">
        <v>397</v>
      </c>
      <c r="B12" s="6"/>
      <c r="C12" s="31" t="n">
        <v>100</v>
      </c>
      <c r="D12" s="6"/>
    </row>
    <row r="13" customFormat="false" ht="15" hidden="false" customHeight="false" outlineLevel="0" collapsed="false">
      <c r="A13" s="6"/>
      <c r="B13" s="6"/>
      <c r="C13" s="6"/>
      <c r="D13" s="6"/>
    </row>
    <row r="14" customFormat="false" ht="15" hidden="false" customHeight="false" outlineLevel="0" collapsed="false">
      <c r="A14" s="6" t="s">
        <v>398</v>
      </c>
      <c r="B14" s="6"/>
      <c r="C14" s="32" t="n">
        <v>0.2</v>
      </c>
      <c r="D14" s="7" t="s">
        <v>399</v>
      </c>
    </row>
    <row r="15" customFormat="false" ht="15" hidden="false" customHeight="false" outlineLevel="0" collapsed="false">
      <c r="A15" s="6"/>
      <c r="B15" s="6"/>
      <c r="C15" s="6"/>
      <c r="D15" s="6"/>
    </row>
    <row r="16" customFormat="false" ht="15" hidden="false" customHeight="false" outlineLevel="0" collapsed="false">
      <c r="A16" s="15" t="s">
        <v>400</v>
      </c>
      <c r="B16" s="6"/>
      <c r="C16" s="6"/>
      <c r="D16" s="7" t="s">
        <v>401</v>
      </c>
    </row>
    <row r="17" customFormat="false" ht="15" hidden="false" customHeight="false" outlineLevel="0" collapsed="false">
      <c r="A17" s="8" t="s">
        <v>402</v>
      </c>
      <c r="B17" s="8"/>
      <c r="C17" s="8"/>
      <c r="D17" s="8" t="s">
        <v>403</v>
      </c>
    </row>
    <row r="18" customFormat="false" ht="15" hidden="false" customHeight="false" outlineLevel="0" collapsed="false">
      <c r="A18" s="18" t="s">
        <v>404</v>
      </c>
      <c r="B18" s="6"/>
      <c r="C18" s="6"/>
      <c r="D18" s="18" t="s">
        <v>405</v>
      </c>
    </row>
    <row r="19" customFormat="false" ht="15" hidden="false" customHeight="false" outlineLevel="0" collapsed="false">
      <c r="A19" s="18" t="s">
        <v>406</v>
      </c>
      <c r="B19" s="6"/>
      <c r="C19" s="6"/>
      <c r="D19" s="18" t="s">
        <v>407</v>
      </c>
    </row>
    <row r="20" customFormat="false" ht="15" hidden="false" customHeight="false" outlineLevel="0" collapsed="false">
      <c r="A20" s="18" t="s">
        <v>408</v>
      </c>
      <c r="B20" s="6"/>
      <c r="C20" s="6"/>
      <c r="D20" s="18" t="s">
        <v>409</v>
      </c>
    </row>
    <row r="21" customFormat="false" ht="15" hidden="false" customHeight="false" outlineLevel="0" collapsed="false">
      <c r="A21" s="18" t="s">
        <v>410</v>
      </c>
      <c r="B21" s="6"/>
      <c r="C21" s="6"/>
      <c r="D21" s="18" t="s">
        <v>411</v>
      </c>
    </row>
    <row r="22" customFormat="false" ht="15" hidden="false" customHeight="false" outlineLevel="0" collapsed="false">
      <c r="A22" s="18" t="s">
        <v>412</v>
      </c>
      <c r="B22" s="6"/>
      <c r="C22" s="6"/>
      <c r="D22" s="18" t="s">
        <v>413</v>
      </c>
    </row>
    <row r="23" customFormat="false" ht="15" hidden="false" customHeight="false" outlineLevel="0" collapsed="false">
      <c r="A23" s="18" t="s">
        <v>414</v>
      </c>
      <c r="B23" s="6"/>
      <c r="C23" s="6"/>
      <c r="D23" s="18" t="s">
        <v>415</v>
      </c>
    </row>
    <row r="24" customFormat="false" ht="15" hidden="false" customHeight="false" outlineLevel="0" collapsed="false">
      <c r="A24" s="18" t="s">
        <v>416</v>
      </c>
      <c r="B24" s="6"/>
      <c r="C24" s="6"/>
      <c r="D24" s="18" t="s">
        <v>417</v>
      </c>
    </row>
    <row r="25" customFormat="false" ht="15" hidden="false" customHeight="false" outlineLevel="0" collapsed="false">
      <c r="A25" s="6"/>
      <c r="B25" s="6"/>
      <c r="C25" s="6"/>
      <c r="D25" s="6"/>
    </row>
    <row r="26" customFormat="false" ht="15" hidden="false" customHeight="false" outlineLevel="0" collapsed="false">
      <c r="A26" s="15" t="s">
        <v>418</v>
      </c>
      <c r="B26" s="6"/>
      <c r="C26" s="6"/>
      <c r="D26" s="7" t="s">
        <v>200</v>
      </c>
    </row>
    <row r="27" customFormat="false" ht="15" hidden="false" customHeight="false" outlineLevel="0" collapsed="false">
      <c r="A27" s="8" t="s">
        <v>419</v>
      </c>
      <c r="B27" s="8" t="s">
        <v>420</v>
      </c>
      <c r="C27" s="8" t="s">
        <v>421</v>
      </c>
      <c r="D27" s="8"/>
    </row>
    <row r="28" customFormat="false" ht="15" hidden="false" customHeight="false" outlineLevel="0" collapsed="false">
      <c r="A28" s="18" t="s">
        <v>422</v>
      </c>
      <c r="B28" s="18" t="n">
        <v>1</v>
      </c>
      <c r="C28" s="18" t="n">
        <v>0</v>
      </c>
      <c r="D28" s="6"/>
    </row>
    <row r="29" customFormat="false" ht="15" hidden="false" customHeight="false" outlineLevel="0" collapsed="false">
      <c r="A29" s="18" t="s">
        <v>423</v>
      </c>
      <c r="B29" s="18" t="n">
        <v>2</v>
      </c>
      <c r="C29" s="18" t="n">
        <v>0.5</v>
      </c>
      <c r="D29" s="6"/>
    </row>
    <row r="30" customFormat="false" ht="15" hidden="false" customHeight="false" outlineLevel="0" collapsed="false">
      <c r="A30" s="18" t="s">
        <v>424</v>
      </c>
      <c r="B30" s="18" t="n">
        <v>3</v>
      </c>
      <c r="C30" s="18" t="n">
        <v>1.25</v>
      </c>
      <c r="D30" s="6"/>
    </row>
    <row r="31" customFormat="false" ht="15" hidden="false" customHeight="false" outlineLevel="0" collapsed="false">
      <c r="A31" s="18" t="s">
        <v>425</v>
      </c>
      <c r="B31" s="18" t="n">
        <v>4</v>
      </c>
      <c r="C31" s="18" t="n">
        <v>2.25</v>
      </c>
      <c r="D3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3" style="0" width="44"/>
    <col collapsed="false" customWidth="true" hidden="false" outlineLevel="0" max="11" min="4" style="0" width="12"/>
  </cols>
  <sheetData>
    <row r="1" customFormat="false" ht="17.35" hidden="false" customHeight="false" outlineLevel="0" collapsed="false">
      <c r="A1" s="5" t="s">
        <v>426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customFormat="false" ht="15" hidden="false" customHeight="false" outlineLevel="0" collapsed="false">
      <c r="A2" s="7" t="s">
        <v>427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customFormat="false" ht="15" hidden="false" customHeight="false" outlineLevel="0" collapsed="false">
      <c r="A3" s="7" t="s">
        <v>428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customFormat="false" ht="15" hidden="false" customHeight="false" outlineLevel="0" collapsed="false">
      <c r="A5" s="15" t="s">
        <v>429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customFormat="false" ht="46.25" hidden="false" customHeight="false" outlineLevel="0" collapsed="false">
      <c r="A6" s="8" t="s">
        <v>430</v>
      </c>
      <c r="B6" s="8" t="s">
        <v>431</v>
      </c>
      <c r="C6" s="8" t="s">
        <v>432</v>
      </c>
      <c r="D6" s="8" t="s">
        <v>433</v>
      </c>
      <c r="E6" s="8" t="s">
        <v>434</v>
      </c>
      <c r="F6" s="8" t="s">
        <v>435</v>
      </c>
      <c r="G6" s="8" t="s">
        <v>436</v>
      </c>
      <c r="H6" s="8" t="s">
        <v>437</v>
      </c>
      <c r="I6" s="8" t="s">
        <v>438</v>
      </c>
      <c r="J6" s="8" t="s">
        <v>439</v>
      </c>
      <c r="K6" s="8" t="s">
        <v>440</v>
      </c>
      <c r="L6" s="8" t="s">
        <v>441</v>
      </c>
      <c r="M6" s="8" t="s">
        <v>36</v>
      </c>
      <c r="N6" s="8" t="s">
        <v>40</v>
      </c>
      <c r="O6" s="8" t="s">
        <v>44</v>
      </c>
      <c r="P6" s="8" t="s">
        <v>48</v>
      </c>
      <c r="Q6" s="8" t="s">
        <v>52</v>
      </c>
      <c r="R6" s="8" t="s">
        <v>56</v>
      </c>
      <c r="S6" s="8" t="s">
        <v>60</v>
      </c>
      <c r="T6" s="8" t="s">
        <v>64</v>
      </c>
      <c r="U6" s="8" t="s">
        <v>68</v>
      </c>
      <c r="V6" s="8" t="s">
        <v>71</v>
      </c>
      <c r="W6" s="8" t="s">
        <v>75</v>
      </c>
      <c r="X6" s="8" t="s">
        <v>79</v>
      </c>
      <c r="Y6" s="8" t="s">
        <v>83</v>
      </c>
      <c r="Z6" s="8" t="s">
        <v>86</v>
      </c>
      <c r="AA6" s="8" t="s">
        <v>90</v>
      </c>
      <c r="AB6" s="8" t="s">
        <v>94</v>
      </c>
      <c r="AC6" s="8" t="s">
        <v>97</v>
      </c>
      <c r="AD6" s="8" t="s">
        <v>100</v>
      </c>
      <c r="AE6" s="8" t="s">
        <v>103</v>
      </c>
      <c r="AF6" s="8" t="s">
        <v>106</v>
      </c>
      <c r="AG6" s="8" t="s">
        <v>109</v>
      </c>
      <c r="AH6" s="8" t="s">
        <v>112</v>
      </c>
      <c r="AI6" s="8" t="s">
        <v>115</v>
      </c>
      <c r="AJ6" s="8" t="s">
        <v>118</v>
      </c>
      <c r="AK6" s="8" t="s">
        <v>121</v>
      </c>
      <c r="AL6" s="8" t="s">
        <v>124</v>
      </c>
      <c r="AM6" s="8" t="s">
        <v>127</v>
      </c>
      <c r="AN6" s="8" t="s">
        <v>130</v>
      </c>
      <c r="AO6" s="8" t="s">
        <v>136</v>
      </c>
    </row>
    <row r="7" customFormat="false" ht="15" hidden="false" customHeight="false" outlineLevel="0" collapsed="false">
      <c r="A7" s="18" t="s">
        <v>442</v>
      </c>
      <c r="B7" s="18" t="s">
        <v>443</v>
      </c>
      <c r="C7" s="18" t="s">
        <v>444</v>
      </c>
      <c r="D7" s="18" t="n">
        <v>420</v>
      </c>
      <c r="E7" s="33" t="n">
        <v>136051.6</v>
      </c>
      <c r="F7" s="33" t="n">
        <v>122283.57</v>
      </c>
      <c r="G7" s="34" t="n">
        <f aca="false">(F7-E7)/E7</f>
        <v>-0.101197119328255</v>
      </c>
      <c r="H7" s="33" t="n">
        <f aca="false">E7/D7</f>
        <v>323.932380952381</v>
      </c>
      <c r="I7" s="33" t="n">
        <v>118760.07</v>
      </c>
      <c r="J7" s="33" t="n">
        <v>125234.32</v>
      </c>
      <c r="K7" s="33" t="n">
        <v>139428.37</v>
      </c>
      <c r="L7" s="35" t="n">
        <f aca="false">ABS(G7)</f>
        <v>0.101197119328255</v>
      </c>
      <c r="M7" s="18" t="n">
        <v>20</v>
      </c>
      <c r="N7" s="18" t="n">
        <v>21</v>
      </c>
      <c r="O7" s="18" t="n">
        <v>1</v>
      </c>
      <c r="P7" s="18" t="n">
        <v>8</v>
      </c>
      <c r="Q7" s="18" t="n">
        <v>0</v>
      </c>
      <c r="R7" s="18" t="n">
        <v>1</v>
      </c>
      <c r="S7" s="18" t="n">
        <v>0</v>
      </c>
      <c r="T7" s="18" t="n">
        <v>0</v>
      </c>
      <c r="U7" s="18" t="n">
        <v>0</v>
      </c>
      <c r="V7" s="18" t="n">
        <v>1</v>
      </c>
      <c r="W7" s="18" t="n">
        <v>1</v>
      </c>
      <c r="X7" s="18" t="n">
        <v>1</v>
      </c>
      <c r="Y7" s="18" t="n">
        <v>1</v>
      </c>
      <c r="Z7" s="18" t="n">
        <v>1</v>
      </c>
      <c r="AA7" s="18" t="n">
        <v>5</v>
      </c>
      <c r="AB7" s="18" t="n">
        <v>1</v>
      </c>
      <c r="AC7" s="18" t="n">
        <v>0</v>
      </c>
      <c r="AD7" s="18" t="n">
        <v>0</v>
      </c>
      <c r="AE7" s="18" t="n">
        <v>4</v>
      </c>
      <c r="AF7" s="18" t="n">
        <v>1</v>
      </c>
      <c r="AG7" s="18" t="n">
        <v>4</v>
      </c>
      <c r="AH7" s="18" t="n">
        <v>0</v>
      </c>
      <c r="AI7" s="18" t="n">
        <v>1</v>
      </c>
      <c r="AJ7" s="18" t="n">
        <v>21</v>
      </c>
      <c r="AK7" s="18" t="n">
        <v>0</v>
      </c>
      <c r="AL7" s="18" t="n">
        <v>0</v>
      </c>
      <c r="AM7" s="18" t="n">
        <v>1</v>
      </c>
      <c r="AN7" s="18" t="n">
        <v>1</v>
      </c>
      <c r="AO7" s="18" t="n">
        <v>200</v>
      </c>
    </row>
    <row r="8" customFormat="false" ht="15" hidden="false" customHeight="false" outlineLevel="0" collapsed="false">
      <c r="A8" s="18" t="s">
        <v>445</v>
      </c>
      <c r="B8" s="18" t="s">
        <v>443</v>
      </c>
      <c r="C8" s="18" t="s">
        <v>446</v>
      </c>
      <c r="D8" s="18" t="n">
        <v>792</v>
      </c>
      <c r="E8" s="33" t="n">
        <v>91096.38</v>
      </c>
      <c r="F8" s="33" t="n">
        <v>85071.31</v>
      </c>
      <c r="G8" s="34" t="n">
        <f aca="false">(F8-E8)/E8</f>
        <v>-0.0661395107028403</v>
      </c>
      <c r="H8" s="33" t="n">
        <f aca="false">E8/D8</f>
        <v>115.020681818182</v>
      </c>
      <c r="I8" s="33" t="n">
        <v>85071.31</v>
      </c>
      <c r="J8" s="33" t="n">
        <v>87942.31</v>
      </c>
      <c r="K8" s="33" t="n">
        <v>93961.26</v>
      </c>
      <c r="L8" s="35" t="n">
        <f aca="false">ABS(G8)</f>
        <v>0.0661395107028403</v>
      </c>
      <c r="M8" s="18" t="n">
        <v>22</v>
      </c>
      <c r="N8" s="18" t="n">
        <v>36</v>
      </c>
      <c r="O8" s="18" t="n">
        <v>1</v>
      </c>
      <c r="P8" s="18" t="n">
        <v>8</v>
      </c>
      <c r="Q8" s="18" t="n">
        <v>0</v>
      </c>
      <c r="R8" s="18" t="n">
        <v>1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1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1</v>
      </c>
      <c r="AD8" s="18" t="n">
        <v>0</v>
      </c>
      <c r="AE8" s="18" t="n">
        <v>0</v>
      </c>
      <c r="AF8" s="18" t="n">
        <v>1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1</v>
      </c>
      <c r="AN8" s="18" t="n">
        <v>1</v>
      </c>
      <c r="AO8" s="18" t="n">
        <v>200</v>
      </c>
    </row>
    <row r="9" customFormat="false" ht="15" hidden="false" customHeight="false" outlineLevel="0" collapsed="false">
      <c r="A9" s="18" t="s">
        <v>447</v>
      </c>
      <c r="B9" s="18" t="s">
        <v>443</v>
      </c>
      <c r="C9" s="18" t="s">
        <v>448</v>
      </c>
      <c r="D9" s="18" t="n">
        <v>286</v>
      </c>
      <c r="E9" s="33" t="n">
        <v>30650.72</v>
      </c>
      <c r="F9" s="33" t="n">
        <v>34328.83</v>
      </c>
      <c r="G9" s="34" t="n">
        <f aca="false">(F9-E9)/E9</f>
        <v>0.1200007699656</v>
      </c>
      <c r="H9" s="33" t="n">
        <f aca="false">E9/D9</f>
        <v>107.17034965035</v>
      </c>
      <c r="I9" s="33" t="n">
        <v>34328.83</v>
      </c>
      <c r="J9" s="33" t="n">
        <v>35416.33</v>
      </c>
      <c r="K9" s="33" t="n">
        <v>38443.93</v>
      </c>
      <c r="L9" s="35" t="n">
        <f aca="false">ABS(G9)</f>
        <v>0.1200007699656</v>
      </c>
      <c r="M9" s="18" t="n">
        <v>13</v>
      </c>
      <c r="N9" s="18" t="n">
        <v>22</v>
      </c>
      <c r="O9" s="18" t="n">
        <v>1</v>
      </c>
      <c r="P9" s="18" t="n">
        <v>8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3</v>
      </c>
      <c r="V9" s="18" t="n">
        <v>0</v>
      </c>
      <c r="W9" s="18" t="n">
        <v>1</v>
      </c>
      <c r="X9" s="18" t="n">
        <v>1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1</v>
      </c>
      <c r="AN9" s="18" t="n">
        <v>1</v>
      </c>
      <c r="AO9" s="18" t="n">
        <v>200</v>
      </c>
    </row>
    <row r="10" customFormat="false" ht="15" hidden="false" customHeight="false" outlineLevel="0" collapsed="false">
      <c r="A10" s="18" t="s">
        <v>449</v>
      </c>
      <c r="B10" s="18" t="s">
        <v>450</v>
      </c>
      <c r="C10" s="18" t="s">
        <v>451</v>
      </c>
      <c r="D10" s="18" t="n">
        <v>576</v>
      </c>
      <c r="E10" s="33" t="n">
        <v>80138.97</v>
      </c>
      <c r="F10" s="33" t="n">
        <v>81459.59</v>
      </c>
      <c r="G10" s="34" t="n">
        <f aca="false">(F10-E10)/E10</f>
        <v>0.0164791237022387</v>
      </c>
      <c r="H10" s="33" t="n">
        <f aca="false">E10/D10</f>
        <v>139.13015625</v>
      </c>
      <c r="I10" s="33" t="n">
        <v>81459.59</v>
      </c>
      <c r="J10" s="33" t="n">
        <v>81459.59</v>
      </c>
      <c r="K10" s="33" t="n">
        <v>81459.59</v>
      </c>
      <c r="L10" s="35" t="n">
        <f aca="false">ABS(G10)</f>
        <v>0.0164791237022387</v>
      </c>
      <c r="M10" s="18" t="n">
        <v>24</v>
      </c>
      <c r="N10" s="18" t="n">
        <v>24</v>
      </c>
      <c r="O10" s="18" t="n">
        <v>1</v>
      </c>
      <c r="P10" s="18" t="n">
        <v>8</v>
      </c>
      <c r="Q10" s="18" t="n">
        <v>1</v>
      </c>
      <c r="R10" s="18" t="n">
        <v>0</v>
      </c>
      <c r="S10" s="18" t="n">
        <v>1</v>
      </c>
      <c r="T10" s="18" t="n">
        <v>0</v>
      </c>
      <c r="U10" s="18" t="n">
        <v>0</v>
      </c>
      <c r="V10" s="18" t="n">
        <v>1</v>
      </c>
      <c r="W10" s="18" t="n">
        <v>0</v>
      </c>
      <c r="X10" s="18" t="n">
        <v>1</v>
      </c>
      <c r="Y10" s="18" t="n">
        <v>1</v>
      </c>
      <c r="Z10" s="18" t="n">
        <v>0</v>
      </c>
      <c r="AA10" s="18" t="n">
        <v>0</v>
      </c>
      <c r="AB10" s="18" t="n">
        <v>1</v>
      </c>
      <c r="AC10" s="18" t="n">
        <v>0</v>
      </c>
      <c r="AD10" s="18" t="n">
        <v>2</v>
      </c>
      <c r="AE10" s="18" t="n">
        <v>0</v>
      </c>
      <c r="AF10" s="18" t="n">
        <v>0</v>
      </c>
      <c r="AG10" s="18" t="n">
        <v>0</v>
      </c>
      <c r="AH10" s="18" t="n">
        <v>0</v>
      </c>
      <c r="AI10" s="18" t="n">
        <v>1</v>
      </c>
      <c r="AJ10" s="18" t="n">
        <v>0</v>
      </c>
      <c r="AK10" s="18" t="n">
        <v>0</v>
      </c>
      <c r="AL10" s="18" t="n">
        <v>80</v>
      </c>
      <c r="AM10" s="18" t="n">
        <v>1</v>
      </c>
      <c r="AN10" s="18" t="n">
        <v>1</v>
      </c>
      <c r="AO10" s="18" t="n">
        <v>200</v>
      </c>
    </row>
    <row r="11" customFormat="false" ht="15" hidden="false" customHeight="false" outlineLevel="0" collapsed="false">
      <c r="A11" s="18" t="s">
        <v>452</v>
      </c>
      <c r="B11" s="18" t="s">
        <v>443</v>
      </c>
      <c r="C11" s="18" t="s">
        <v>453</v>
      </c>
      <c r="D11" s="18" t="n">
        <v>336</v>
      </c>
      <c r="E11" s="33" t="n">
        <v>55878.86</v>
      </c>
      <c r="F11" s="33" t="n">
        <v>55682.09</v>
      </c>
      <c r="G11" s="34" t="n">
        <f aca="false">(F11-E11)/E11</f>
        <v>-0.00352136747242167</v>
      </c>
      <c r="H11" s="33" t="n">
        <f aca="false">E11/D11</f>
        <v>166.306130952381</v>
      </c>
      <c r="I11" s="33" t="n">
        <v>55682.09</v>
      </c>
      <c r="J11" s="33" t="n">
        <v>57501.84</v>
      </c>
      <c r="K11" s="33" t="n">
        <v>61692.34</v>
      </c>
      <c r="L11" s="35" t="n">
        <f aca="false">ABS(G11)</f>
        <v>0.00352136747242167</v>
      </c>
      <c r="M11" s="18" t="n">
        <v>14</v>
      </c>
      <c r="N11" s="18" t="n">
        <v>24</v>
      </c>
      <c r="O11" s="18" t="n">
        <v>1</v>
      </c>
      <c r="P11" s="18" t="n">
        <v>8</v>
      </c>
      <c r="Q11" s="18" t="n">
        <v>1</v>
      </c>
      <c r="R11" s="18" t="n">
        <v>0</v>
      </c>
      <c r="S11" s="18" t="n">
        <v>1</v>
      </c>
      <c r="T11" s="18" t="n">
        <v>0</v>
      </c>
      <c r="U11" s="18" t="n">
        <v>0</v>
      </c>
      <c r="V11" s="18" t="n">
        <v>0</v>
      </c>
      <c r="W11" s="18" t="n">
        <v>0</v>
      </c>
      <c r="X11" s="18" t="n">
        <v>1</v>
      </c>
      <c r="Y11" s="18" t="n">
        <v>1</v>
      </c>
      <c r="Z11" s="18" t="n">
        <v>0</v>
      </c>
      <c r="AA11" s="18" t="n">
        <v>2</v>
      </c>
      <c r="AB11" s="18" t="n">
        <v>1</v>
      </c>
      <c r="AC11" s="18" t="n">
        <v>0</v>
      </c>
      <c r="AD11" s="18" t="n">
        <v>0</v>
      </c>
      <c r="AE11" s="18" t="n">
        <v>0</v>
      </c>
      <c r="AF11" s="18" t="n">
        <v>0</v>
      </c>
      <c r="AG11" s="18" t="n">
        <v>0</v>
      </c>
      <c r="AH11" s="18" t="n">
        <v>0</v>
      </c>
      <c r="AI11" s="18" t="n">
        <v>0</v>
      </c>
      <c r="AJ11" s="18" t="n">
        <v>0</v>
      </c>
      <c r="AK11" s="18" t="n">
        <v>0</v>
      </c>
      <c r="AL11" s="18" t="n">
        <v>50</v>
      </c>
      <c r="AM11" s="18" t="n">
        <v>1</v>
      </c>
      <c r="AN11" s="18" t="n">
        <v>1</v>
      </c>
      <c r="AO11" s="18" t="n">
        <v>200</v>
      </c>
    </row>
    <row r="12" customFormat="false" ht="15" hidden="false" customHeight="false" outlineLevel="0" collapsed="false">
      <c r="A12" s="18" t="s">
        <v>454</v>
      </c>
      <c r="B12" s="18" t="s">
        <v>443</v>
      </c>
      <c r="C12" s="18" t="s">
        <v>455</v>
      </c>
      <c r="D12" s="18" t="n">
        <v>360</v>
      </c>
      <c r="E12" s="33" t="n">
        <v>115817.78</v>
      </c>
      <c r="F12" s="33" t="n">
        <v>105311.82</v>
      </c>
      <c r="G12" s="34" t="n">
        <f aca="false">(F12-E12)/E12</f>
        <v>-0.0907111153399762</v>
      </c>
      <c r="H12" s="33" t="n">
        <f aca="false">E12/D12</f>
        <v>321.716055555556</v>
      </c>
      <c r="I12" s="33" t="n">
        <v>98372.12</v>
      </c>
      <c r="J12" s="33" t="n">
        <v>104643.37</v>
      </c>
      <c r="K12" s="33" t="n">
        <v>116534.82</v>
      </c>
      <c r="L12" s="35" t="n">
        <f aca="false">ABS(G12)</f>
        <v>0.0907111153399762</v>
      </c>
      <c r="M12" s="18" t="n">
        <v>18</v>
      </c>
      <c r="N12" s="18" t="n">
        <v>20</v>
      </c>
      <c r="O12" s="18" t="n">
        <v>1</v>
      </c>
      <c r="P12" s="18" t="n">
        <v>8</v>
      </c>
      <c r="Q12" s="18" t="n">
        <v>0</v>
      </c>
      <c r="R12" s="18" t="n">
        <v>1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1</v>
      </c>
      <c r="X12" s="18" t="n">
        <v>1</v>
      </c>
      <c r="Y12" s="18" t="n">
        <v>1</v>
      </c>
      <c r="Z12" s="18" t="n">
        <v>1</v>
      </c>
      <c r="AA12" s="18" t="n">
        <v>10</v>
      </c>
      <c r="AB12" s="18" t="n">
        <v>1</v>
      </c>
      <c r="AC12" s="18" t="n">
        <v>1</v>
      </c>
      <c r="AD12" s="18" t="n">
        <v>0</v>
      </c>
      <c r="AE12" s="18" t="n">
        <v>0</v>
      </c>
      <c r="AF12" s="18" t="n">
        <v>1</v>
      </c>
      <c r="AG12" s="18" t="n">
        <v>0</v>
      </c>
      <c r="AH12" s="18" t="n">
        <v>0</v>
      </c>
      <c r="AI12" s="18" t="n">
        <v>1</v>
      </c>
      <c r="AJ12" s="18" t="n">
        <v>0</v>
      </c>
      <c r="AK12" s="18" t="n">
        <v>130</v>
      </c>
      <c r="AL12" s="18" t="n">
        <v>0</v>
      </c>
      <c r="AM12" s="18" t="n">
        <v>1</v>
      </c>
      <c r="AN12" s="18" t="n">
        <v>1</v>
      </c>
      <c r="AO12" s="18" t="n">
        <v>200</v>
      </c>
    </row>
    <row r="13" customFormat="false" ht="15" hidden="false" customHeight="false" outlineLevel="0" collapsed="false">
      <c r="A13" s="18" t="s">
        <v>456</v>
      </c>
      <c r="B13" s="18" t="s">
        <v>457</v>
      </c>
      <c r="C13" s="18" t="s">
        <v>458</v>
      </c>
      <c r="D13" s="18" t="n">
        <v>273</v>
      </c>
      <c r="E13" s="33" t="n">
        <v>68589.48</v>
      </c>
      <c r="F13" s="33" t="n">
        <v>77062.19</v>
      </c>
      <c r="G13" s="34" t="n">
        <f aca="false">(F13-E13)/E13</f>
        <v>0.123527835463981</v>
      </c>
      <c r="H13" s="33" t="n">
        <f aca="false">E13/D13</f>
        <v>251.243516483516</v>
      </c>
      <c r="I13" s="33" t="n">
        <v>77062.19</v>
      </c>
      <c r="J13" s="33" t="n">
        <v>78939.21</v>
      </c>
      <c r="K13" s="33" t="n">
        <v>83876.46</v>
      </c>
      <c r="L13" s="35" t="n">
        <f aca="false">ABS(G13)</f>
        <v>0.123527835463981</v>
      </c>
      <c r="M13" s="18" t="n">
        <v>21</v>
      </c>
      <c r="N13" s="18" t="n">
        <v>13</v>
      </c>
      <c r="O13" s="18" t="n">
        <v>1</v>
      </c>
      <c r="P13" s="18" t="n">
        <v>8</v>
      </c>
      <c r="Q13" s="18" t="n">
        <v>0</v>
      </c>
      <c r="R13" s="18" t="n">
        <v>1</v>
      </c>
      <c r="S13" s="18" t="n">
        <v>0</v>
      </c>
      <c r="T13" s="18" t="n">
        <v>0</v>
      </c>
      <c r="U13" s="18" t="n">
        <v>0</v>
      </c>
      <c r="V13" s="18" t="n">
        <v>0</v>
      </c>
      <c r="W13" s="18" t="n">
        <v>1</v>
      </c>
      <c r="X13" s="18" t="n">
        <v>1</v>
      </c>
      <c r="Y13" s="18" t="n">
        <v>1</v>
      </c>
      <c r="Z13" s="18" t="n">
        <v>1</v>
      </c>
      <c r="AA13" s="18" t="n">
        <v>1</v>
      </c>
      <c r="AB13" s="18" t="n">
        <v>2</v>
      </c>
      <c r="AC13" s="18" t="n">
        <v>0</v>
      </c>
      <c r="AD13" s="18" t="n">
        <v>0</v>
      </c>
      <c r="AE13" s="18" t="n">
        <v>0</v>
      </c>
      <c r="AF13" s="18" t="n">
        <v>1</v>
      </c>
      <c r="AG13" s="18" t="n">
        <v>2</v>
      </c>
      <c r="AH13" s="18" t="n">
        <v>0</v>
      </c>
      <c r="AI13" s="18" t="n">
        <v>1</v>
      </c>
      <c r="AJ13" s="18" t="n">
        <v>0</v>
      </c>
      <c r="AK13" s="18" t="n">
        <v>114</v>
      </c>
      <c r="AL13" s="18" t="n">
        <v>0</v>
      </c>
      <c r="AM13" s="18" t="n">
        <v>1</v>
      </c>
      <c r="AN13" s="18" t="n">
        <v>1</v>
      </c>
      <c r="AO13" s="18" t="n">
        <v>200</v>
      </c>
    </row>
    <row r="14" customFormat="false" ht="15" hidden="false" customHeight="false" outlineLevel="0" collapsed="false">
      <c r="A14" s="36" t="s">
        <v>459</v>
      </c>
      <c r="B14" s="36" t="s">
        <v>443</v>
      </c>
      <c r="C14" s="36" t="s">
        <v>460</v>
      </c>
      <c r="D14" s="36" t="n">
        <v>336</v>
      </c>
      <c r="E14" s="37" t="n">
        <v>174713.8</v>
      </c>
      <c r="F14" s="37" t="n">
        <v>102279.98</v>
      </c>
      <c r="G14" s="38" t="n">
        <f aca="false">(F14-E14)/E14</f>
        <v>-0.414585567940254</v>
      </c>
      <c r="H14" s="37" t="n">
        <f aca="false">E14/D14</f>
        <v>519.981547619048</v>
      </c>
      <c r="I14" s="37" t="n">
        <v>86505.43</v>
      </c>
      <c r="J14" s="37" t="n">
        <v>91941.48</v>
      </c>
      <c r="K14" s="37" t="n">
        <v>102279.98</v>
      </c>
      <c r="L14" s="39" t="n">
        <f aca="false">ABS(G14)</f>
        <v>0.414585567940254</v>
      </c>
      <c r="M14" s="36" t="n">
        <v>21</v>
      </c>
      <c r="N14" s="36" t="n">
        <v>16</v>
      </c>
      <c r="O14" s="36" t="n">
        <v>1</v>
      </c>
      <c r="P14" s="36" t="n">
        <v>8</v>
      </c>
      <c r="Q14" s="36" t="n">
        <v>0</v>
      </c>
      <c r="R14" s="36" t="n">
        <v>1</v>
      </c>
      <c r="S14" s="36" t="n">
        <v>0</v>
      </c>
      <c r="T14" s="36" t="n">
        <v>0</v>
      </c>
      <c r="U14" s="36" t="n">
        <v>0</v>
      </c>
      <c r="V14" s="36" t="n">
        <v>0</v>
      </c>
      <c r="W14" s="36" t="n">
        <v>1</v>
      </c>
      <c r="X14" s="36" t="n">
        <v>1</v>
      </c>
      <c r="Y14" s="36" t="n">
        <v>1</v>
      </c>
      <c r="Z14" s="36" t="n">
        <v>1</v>
      </c>
      <c r="AA14" s="36" t="n">
        <v>8</v>
      </c>
      <c r="AB14" s="36" t="n">
        <v>0</v>
      </c>
      <c r="AC14" s="36" t="n">
        <v>1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1</v>
      </c>
      <c r="AI14" s="36" t="n">
        <v>0</v>
      </c>
      <c r="AJ14" s="36" t="n">
        <v>0</v>
      </c>
      <c r="AK14" s="36" t="n">
        <v>333</v>
      </c>
      <c r="AL14" s="36" t="n">
        <v>0</v>
      </c>
      <c r="AM14" s="36" t="n">
        <v>2</v>
      </c>
      <c r="AN14" s="36" t="n">
        <v>1</v>
      </c>
      <c r="AO14" s="36" t="n">
        <v>200</v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customFormat="false" ht="15" hidden="false" customHeight="false" outlineLevel="0" collapsed="false">
      <c r="A16" s="15" t="s">
        <v>461</v>
      </c>
      <c r="B16" s="6"/>
      <c r="C16" s="6"/>
      <c r="D16" s="6"/>
      <c r="E16" s="40" t="n">
        <f aca="false">MEDIAN(L7:L13)</f>
        <v>0.0907111153399762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customFormat="false" ht="15" hidden="false" customHeight="false" outlineLevel="0" collapsed="false">
      <c r="A17" s="15" t="s">
        <v>462</v>
      </c>
      <c r="B17" s="6"/>
      <c r="C17" s="6"/>
      <c r="D17" s="6"/>
      <c r="E17" s="41" t="n">
        <f aca="false">MEDIAN(G7:G13)</f>
        <v>-0.00352136747242167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customFormat="false" ht="15" hidden="false" customHeight="false" outlineLevel="0" collapsed="false">
      <c r="A18" s="15" t="s">
        <v>463</v>
      </c>
      <c r="B18" s="6"/>
      <c r="C18" s="6"/>
      <c r="D18" s="6"/>
      <c r="E18" s="15" t="str">
        <f aca="false">SUMPRODUCT(--(L7:L13&lt;=0.15))&amp;" of "&amp;COUNT(L7:L13)</f>
        <v>7 of 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customFormat="false" ht="15" hidden="false" customHeight="false" outlineLevel="0" collapsed="false">
      <c r="A20" s="15" t="s">
        <v>464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customFormat="false" ht="15" hidden="false" customHeight="false" outlineLevel="0" collapsed="false">
      <c r="A21" s="7" t="s">
        <v>465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customFormat="false" ht="15" hidden="false" customHeight="false" outlineLevel="0" collapsed="false">
      <c r="A22" s="8" t="s">
        <v>466</v>
      </c>
      <c r="B22" s="8"/>
      <c r="C22" s="8"/>
      <c r="D22" s="8" t="s">
        <v>442</v>
      </c>
      <c r="E22" s="8" t="s">
        <v>445</v>
      </c>
      <c r="F22" s="8" t="s">
        <v>447</v>
      </c>
      <c r="G22" s="8" t="s">
        <v>449</v>
      </c>
      <c r="H22" s="8" t="s">
        <v>452</v>
      </c>
      <c r="I22" s="8" t="s">
        <v>454</v>
      </c>
      <c r="J22" s="8" t="s">
        <v>456</v>
      </c>
      <c r="K22" s="8" t="s">
        <v>459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customFormat="false" ht="15" hidden="false" customHeight="false" outlineLevel="0" collapsed="false">
      <c r="A23" s="11" t="s">
        <v>467</v>
      </c>
      <c r="B23" s="6"/>
      <c r="C23" s="6"/>
      <c r="D23" s="18" t="s">
        <v>468</v>
      </c>
      <c r="E23" s="18" t="s">
        <v>469</v>
      </c>
      <c r="F23" s="18" t="s">
        <v>470</v>
      </c>
      <c r="G23" s="18" t="s">
        <v>471</v>
      </c>
      <c r="H23" s="18" t="s">
        <v>472</v>
      </c>
      <c r="I23" s="18" t="s">
        <v>473</v>
      </c>
      <c r="J23" s="18" t="s">
        <v>474</v>
      </c>
      <c r="K23" s="18" t="s">
        <v>475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customFormat="false" ht="15" hidden="false" customHeight="false" outlineLevel="0" collapsed="false">
      <c r="A24" s="11" t="s">
        <v>476</v>
      </c>
      <c r="B24" s="6"/>
      <c r="C24" s="6"/>
      <c r="D24" s="18" t="s">
        <v>477</v>
      </c>
      <c r="E24" s="18" t="s">
        <v>478</v>
      </c>
      <c r="F24" s="18" t="s">
        <v>479</v>
      </c>
      <c r="G24" s="18" t="s">
        <v>480</v>
      </c>
      <c r="H24" s="18" t="s">
        <v>481</v>
      </c>
      <c r="I24" s="18" t="s">
        <v>482</v>
      </c>
      <c r="J24" s="18" t="s">
        <v>483</v>
      </c>
      <c r="K24" s="18" t="s">
        <v>484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customFormat="false" ht="15" hidden="false" customHeight="false" outlineLevel="0" collapsed="false">
      <c r="A25" s="11" t="s">
        <v>485</v>
      </c>
      <c r="B25" s="6"/>
      <c r="C25" s="6"/>
      <c r="D25" s="18" t="s">
        <v>486</v>
      </c>
      <c r="E25" s="18" t="s">
        <v>478</v>
      </c>
      <c r="F25" s="18" t="s">
        <v>473</v>
      </c>
      <c r="G25" s="18" t="s">
        <v>487</v>
      </c>
      <c r="H25" s="18" t="s">
        <v>488</v>
      </c>
      <c r="I25" s="18" t="s">
        <v>475</v>
      </c>
      <c r="J25" s="18" t="s">
        <v>489</v>
      </c>
      <c r="K25" s="18" t="s">
        <v>490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customFormat="false" ht="15" hidden="false" customHeight="false" outlineLevel="0" collapsed="false">
      <c r="A26" s="11" t="s">
        <v>491</v>
      </c>
      <c r="B26" s="6"/>
      <c r="C26" s="6"/>
      <c r="D26" s="18" t="s">
        <v>492</v>
      </c>
      <c r="E26" s="18" t="s">
        <v>493</v>
      </c>
      <c r="F26" s="18" t="s">
        <v>469</v>
      </c>
      <c r="G26" s="18" t="s">
        <v>487</v>
      </c>
      <c r="H26" s="18" t="s">
        <v>494</v>
      </c>
      <c r="I26" s="18" t="s">
        <v>495</v>
      </c>
      <c r="J26" s="18" t="s">
        <v>496</v>
      </c>
      <c r="K26" s="18" t="s">
        <v>497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customFormat="false" ht="15" hidden="false" customHeight="false" outlineLevel="0" collapsed="false">
      <c r="A27" s="11" t="s">
        <v>498</v>
      </c>
      <c r="B27" s="6"/>
      <c r="C27" s="6"/>
      <c r="D27" s="18" t="s">
        <v>499</v>
      </c>
      <c r="E27" s="18" t="s">
        <v>500</v>
      </c>
      <c r="F27" s="18" t="s">
        <v>487</v>
      </c>
      <c r="G27" s="18" t="s">
        <v>487</v>
      </c>
      <c r="H27" s="18" t="s">
        <v>501</v>
      </c>
      <c r="I27" s="18" t="s">
        <v>478</v>
      </c>
      <c r="J27" s="18" t="s">
        <v>502</v>
      </c>
      <c r="K27" s="18" t="s">
        <v>503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customFormat="false" ht="15" hidden="false" customHeight="false" outlineLevel="0" collapsed="false">
      <c r="A28" s="11" t="s">
        <v>504</v>
      </c>
      <c r="B28" s="6"/>
      <c r="C28" s="6"/>
      <c r="D28" s="18" t="s">
        <v>505</v>
      </c>
      <c r="E28" s="18" t="s">
        <v>487</v>
      </c>
      <c r="F28" s="18" t="s">
        <v>487</v>
      </c>
      <c r="G28" s="18" t="s">
        <v>506</v>
      </c>
      <c r="H28" s="18" t="s">
        <v>507</v>
      </c>
      <c r="I28" s="18" t="s">
        <v>508</v>
      </c>
      <c r="J28" s="18" t="s">
        <v>509</v>
      </c>
      <c r="K28" s="18" t="s">
        <v>478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customFormat="false" ht="15" hidden="false" customHeight="false" outlineLevel="0" collapsed="false">
      <c r="A29" s="11" t="s">
        <v>510</v>
      </c>
      <c r="B29" s="6"/>
      <c r="C29" s="6"/>
      <c r="D29" s="18" t="s">
        <v>511</v>
      </c>
      <c r="E29" s="18" t="s">
        <v>487</v>
      </c>
      <c r="F29" s="18" t="s">
        <v>470</v>
      </c>
      <c r="G29" s="18" t="s">
        <v>512</v>
      </c>
      <c r="H29" s="18" t="s">
        <v>468</v>
      </c>
      <c r="I29" s="18" t="s">
        <v>470</v>
      </c>
      <c r="J29" s="18" t="s">
        <v>513</v>
      </c>
      <c r="K29" s="18" t="s">
        <v>514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customFormat="false" ht="15" hidden="false" customHeight="false" outlineLevel="0" collapsed="false">
      <c r="A30" s="11" t="s">
        <v>515</v>
      </c>
      <c r="B30" s="6"/>
      <c r="C30" s="6"/>
      <c r="D30" s="18" t="s">
        <v>513</v>
      </c>
      <c r="E30" s="18" t="s">
        <v>516</v>
      </c>
      <c r="F30" s="18" t="s">
        <v>517</v>
      </c>
      <c r="G30" s="18" t="s">
        <v>484</v>
      </c>
      <c r="H30" s="18" t="s">
        <v>518</v>
      </c>
      <c r="I30" s="18" t="s">
        <v>519</v>
      </c>
      <c r="J30" s="18" t="s">
        <v>520</v>
      </c>
      <c r="K30" s="18" t="s">
        <v>521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customFormat="false" ht="15" hidden="false" customHeight="false" outlineLevel="0" collapsed="false">
      <c r="A32" s="15" t="s">
        <v>522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customFormat="false" ht="15" hidden="false" customHeight="false" outlineLevel="0" collapsed="false">
      <c r="A33" s="11" t="s">
        <v>442</v>
      </c>
      <c r="B33" s="6"/>
      <c r="C33" s="11" t="s">
        <v>523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customFormat="false" ht="15" hidden="false" customHeight="false" outlineLevel="0" collapsed="false">
      <c r="A34" s="11" t="s">
        <v>445</v>
      </c>
      <c r="B34" s="6"/>
      <c r="C34" s="11" t="s">
        <v>524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customFormat="false" ht="15" hidden="false" customHeight="false" outlineLevel="0" collapsed="false">
      <c r="A35" s="11" t="s">
        <v>454</v>
      </c>
      <c r="B35" s="6"/>
      <c r="C35" s="11" t="s">
        <v>525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customFormat="false" ht="15" hidden="false" customHeight="false" outlineLevel="0" collapsed="false">
      <c r="A36" s="11" t="s">
        <v>456</v>
      </c>
      <c r="B36" s="6"/>
      <c r="C36" s="11" t="s">
        <v>526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customFormat="false" ht="15" hidden="false" customHeight="false" outlineLevel="0" collapsed="false">
      <c r="A37" s="11" t="s">
        <v>459</v>
      </c>
      <c r="B37" s="6"/>
      <c r="C37" s="11" t="s">
        <v>527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customFormat="false" ht="15" hidden="false" customHeight="false" outlineLevel="0" collapsed="false">
      <c r="A38" s="15" t="s">
        <v>528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customFormat="false" ht="15" hidden="false" customHeight="false" outlineLevel="0" collapsed="false">
      <c r="A39" s="11" t="s">
        <v>452</v>
      </c>
      <c r="B39" s="6"/>
      <c r="C39" s="11" t="s">
        <v>292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customFormat="false" ht="15" hidden="false" customHeight="false" outlineLevel="0" collapsed="false">
      <c r="A40" s="11" t="s">
        <v>449</v>
      </c>
      <c r="B40" s="6"/>
      <c r="C40" s="11" t="s">
        <v>529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customFormat="false" ht="15" hidden="false" customHeight="false" outlineLevel="0" collapsed="false">
      <c r="A42" s="7" t="s">
        <v>530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customFormat="false" ht="15" hidden="false" customHeight="false" outlineLevel="0" collapsed="false">
      <c r="A43" s="7" t="s">
        <v>531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customFormat="false" ht="15" hidden="false" customHeight="false" outlineLevel="0" collapsed="false">
      <c r="A44" s="7" t="s">
        <v>532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2026-09-28T12:17:41Z</dcterms:created>
  <dc:creator>openpyxl</dc:creator>
  <dc:description/>
  <dc:language>en-US</dc:language>
  <cp:lastModifiedBy/>
  <dcterms:modified xsi:type="dcterms:W3CDTF">2026-09-28T12:17:41Z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