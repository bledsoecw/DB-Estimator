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Calculator" sheetId="2" state="visible" r:id="rId4"/>
    <sheet name="Template" sheetId="3" state="visible" r:id="rId5"/>
    <sheet name="Parameters" sheetId="4" state="visible" r:id="rId6"/>
    <sheet name="Rates" sheetId="5" state="visible" r:id="rId7"/>
    <sheet name="Calibration" sheetId="6" state="visible" r:id="rId8"/>
  </sheets>
  <definedNames>
    <definedName function="false" hidden="false" name="LaborCost" vbProcedure="false">Rates!$C$11</definedName>
    <definedName function="false" hidden="false" name="MarkupCodes" vbProcedure="false">Rates!$A$4:$A$9</definedName>
    <definedName function="false" hidden="false" name="MarkupVals" vbProcedure="false">Rates!$C$4:$C$9</definedName>
    <definedName function="false" hidden="false" name="p_Kitchen_Appliances_Installed" vbProcedure="false">Calculator!$B$11</definedName>
    <definedName function="false" hidden="false" name="p_Kitchen_Appliances_Supplied" vbProcedure="false">Calculator!$B$10</definedName>
    <definedName function="false" hidden="false" name="p_Kitchen_Backsplash" vbProcedure="false">Calculator!$B$9</definedName>
    <definedName function="false" hidden="false" name="p_Kitchen_Cabinet_Run" vbProcedure="false">Calculator!$B$7</definedName>
    <definedName function="false" hidden="false" name="p_Kitchen_Circuits_Added" vbProcedure="false">Calculator!$B$17</definedName>
    <definedName function="false" hidden="false" name="p_Kitchen_Contingency_Rate" vbProcedure="false">Calculator!$B$26</definedName>
    <definedName function="false" hidden="false" name="p_Kitchen_Dumpster_Loads" vbProcedure="false">Calculator!$B$24</definedName>
    <definedName function="false" hidden="false" name="p_Kitchen_Exterior_Doors" vbProcedure="false">Calculator!$B$22</definedName>
    <definedName function="false" hidden="false" name="p_Kitchen_Fixtures_Relocated" vbProcedure="false">Calculator!$B$13</definedName>
    <definedName function="false" hidden="false" name="p_Kitchen_Fixtures_Replaced" vbProcedure="false">Calculator!$B$12</definedName>
    <definedName function="false" hidden="false" name="p_Kitchen_Floor_Area" vbProcedure="false">Calculator!$B$5</definedName>
    <definedName function="false" hidden="false" name="p_Kitchen_Full_Gut" vbProcedure="false">Calculator!$B$6</definedName>
    <definedName function="false" hidden="false" name="p_Kitchen_HVAC_Work" vbProcedure="false">Calculator!$B$23</definedName>
    <definedName function="false" hidden="false" name="p_Kitchen_Interior_Doors" vbProcedure="false">Calculator!$B$21</definedName>
    <definedName function="false" hidden="false" name="p_Kitchen_Island_Length" vbProcedure="false">Calculator!$B$8</definedName>
    <definedName function="false" hidden="false" name="p_Kitchen_Light_Fixtures" vbProcedure="false">Calculator!$B$15</definedName>
    <definedName function="false" hidden="false" name="p_Kitchen_New_Flooring_Area" vbProcedure="false">Calculator!$B$14</definedName>
    <definedName function="false" hidden="false" name="p_Kitchen_Recessed_Lights" vbProcedure="false">Calculator!$B$16</definedName>
    <definedName function="false" hidden="false" name="p_Kitchen_Subfloor_Repair_Area" vbProcedure="false">Calculator!$B$20</definedName>
    <definedName function="false" hidden="false" name="p_Kitchen_Travel_Hours" vbProcedure="false">Calculator!$B$25</definedName>
    <definedName function="false" hidden="false" name="p_Kitchen_Under_Cabinet_Lighting" vbProcedure="false">Calculator!$B$18</definedName>
    <definedName function="false" hidden="false" name="p_Kitchen_Walls_Moved" vbProcedure="false">Calculator!$B$19</definedName>
    <definedName function="false" hidden="false" name="RangePct" vbProcedure="false">Rates!$C$14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<sst xmlns="http://schemas.openxmlformats.org/spreadsheetml/2006/main" count="711" uniqueCount="356">
  <si>
    <t xml:space="preserve">Kitchen Ballpark Template — DRAFT for review</t>
  </si>
  <si>
    <t xml:space="preserve">Deitemeyer Brothers · General Construction · drafted 27 Sep 2026 · decisions applied 28 Sep 2026</t>
  </si>
  <si>
    <t xml:space="preserve">What this is</t>
  </si>
  <si>
    <t xml:space="preserve">The build sheet for a formula-driven kitchen ballpark in JobTread, plus a working calculator so the numbers can be checked before anything is built.</t>
  </si>
  <si>
    <t xml:space="preserve">It prices one kitchen at Good / Better / Best from 21 site-visit measurements, using DB's catalog rates and markup. It runs on the same engine as the bathroom template.</t>
  </si>
  <si>
    <t xml:space="preserve">How to use it</t>
  </si>
  <si>
    <t xml:space="preserve">1. Calculator tab: type the site-visit numbers into the yellow cells. The three totals and ranges update.</t>
  </si>
  <si>
    <t xml:space="preserve">2. Template tab: every JobTread line with its cost group, cost code, unit, exact quantity formula, and unit cost and price per tier.</t>
  </si>
  <si>
    <t xml:space="preserve">3. Parameters tab: the 21 site-visit parameters plus the contingency rate, which the estimator sets. Each starts with 'Kitchen ' so a job with a kitchen and a bath never shares one.</t>
  </si>
  <si>
    <t xml:space="preserve">4. Rates tab: markup by cost type, and the ± band. It is set to ±20% for kitchens.</t>
  </si>
  <si>
    <t xml:space="preserve">5. Calibration tab: how the template compares with every kitchen DB has estimated.</t>
  </si>
  <si>
    <t xml:space="preserve">Legend</t>
  </si>
  <si>
    <t xml:space="preserve">Yellow fill, blue text: an input you can change. Black text: a formula. Grey text: notes and sources.</t>
  </si>
  <si>
    <t xml:space="preserve">How much to trust it</t>
  </si>
  <si>
    <t xml:space="preserve">DB has not signed a kitchen since the move to JobTread. Two full kitchens have been estimated (both pending, both premium) and a few larger bids contain kitchen lines.</t>
  </si>
  <si>
    <t xml:space="preserve">Both full kitchens reproduce within 5% at the tier each was quoted, and their labor and rough-in within 2%. That shows the template can express how DB prices a kitchen. It is not a forecast: the inputs were rebuilt from those same estimates.</t>
  </si>
  <si>
    <t xml:space="preserve">The Good tier rests on one source, DB's apartment-kitchen bid. Better cabinets use DB's standard $600-per-foot allowance.</t>
  </si>
  <si>
    <t xml:space="preserve">So the ballpark is quoted at ±20%, as the proposal planned, until three kitchens have closed. Then re-run the calibration and tighten it to ±15%.</t>
  </si>
  <si>
    <t xml:space="preserve">Decided 28 Sep 2026</t>
  </si>
  <si>
    <t xml:space="preserve">Contingency is its own line on each tier: 8% for a remodel where anything moves, 5% for a refresh that keeps the layout. The estimator sets the Kitchen Contingency Rate. The checks compare prices before contingency, because DB's past estimates carried none.</t>
  </si>
  <si>
    <t xml:space="preserve">Allowances are stated as customer prices (JobTread allowance type: price). No total changes; an overage or a credit is simply the difference in price.</t>
  </si>
  <si>
    <t xml:space="preserve">Products per tier: the estimator and the designer name one product per Good / Better / Best cell and lock the grid for six months (draft in the proposal, §9).</t>
  </si>
  <si>
    <t xml:space="preserve">Still open: whether DB supplies appliances by default or only on request.</t>
  </si>
  <si>
    <t xml:space="preserve">Source for every rate: kitchen estimates read from DB's JobTread account (read-only) on 27 Sep 2026. See Calibration tab.</t>
  </si>
  <si>
    <t xml:space="preserve">Kitchen Ballpark Calculator</t>
  </si>
  <si>
    <t xml:space="preserve">Type the site-visit numbers into the yellow cells. Example values below are a typical 180 SF gutted kitchen with a 26 ft cabinet run and a 6 ft island, not a real customer.</t>
  </si>
  <si>
    <t xml:space="preserve">Site-visit measurement</t>
  </si>
  <si>
    <t xml:space="preserve">Value</t>
  </si>
  <si>
    <t xml:space="preserve">What to enter</t>
  </si>
  <si>
    <t xml:space="preserve">JobTread parameter name</t>
  </si>
  <si>
    <t xml:space="preserve">Ballpark</t>
  </si>
  <si>
    <t xml:space="preserve">Good</t>
  </si>
  <si>
    <t xml:space="preserve">Better</t>
  </si>
  <si>
    <t xml:space="preserve">Best</t>
  </si>
  <si>
    <t xml:space="preserve">Kitchen Floor Area</t>
  </si>
  <si>
    <t xml:space="preserve">Floor area of the kitchen in SF, wall to wall, including any eat-in area being remodeled</t>
  </si>
  <si>
    <t xml:space="preserve">{Kitchen Floor Area}</t>
  </si>
  <si>
    <t xml:space="preserve">Phase 1 - General Requirements</t>
  </si>
  <si>
    <t xml:space="preserve">Kitchen Full Gut</t>
  </si>
  <si>
    <t xml:space="preserve">1 = walls opened and all cabinets out; 0 = cabinets and counters swapped with walls left intact</t>
  </si>
  <si>
    <t xml:space="preserve">{Kitchen Full Gut}</t>
  </si>
  <si>
    <t xml:space="preserve">Phase 2 - Rough-In</t>
  </si>
  <si>
    <t xml:space="preserve">Kitchen Cabinet Run</t>
  </si>
  <si>
    <t xml:space="preserve">Linear feet of base cabinets, including the island and the width of any pantry or oven towers. Uppers are priced in.</t>
  </si>
  <si>
    <t xml:space="preserve">{Kitchen Cabinet Run}</t>
  </si>
  <si>
    <t xml:space="preserve">Phase 3 - Interior</t>
  </si>
  <si>
    <t xml:space="preserve">Kitchen Island Length</t>
  </si>
  <si>
    <t xml:space="preserve">Linear feet of island (already counted in the cabinet run)</t>
  </si>
  <si>
    <t xml:space="preserve">{Kitchen Island Length}</t>
  </si>
  <si>
    <t xml:space="preserve">Phase 4 - Finishes</t>
  </si>
  <si>
    <t xml:space="preserve">Kitchen Backsplash</t>
  </si>
  <si>
    <t xml:space="preserve">1 = new backsplash along the wall run; 0 = none</t>
  </si>
  <si>
    <t xml:space="preserve">{Kitchen Backsplash}</t>
  </si>
  <si>
    <t xml:space="preserve">Finish selections (tier)</t>
  </si>
  <si>
    <t xml:space="preserve">Kitchen Appliances Supplied</t>
  </si>
  <si>
    <t xml:space="preserve">Appliances DB buys for the customer</t>
  </si>
  <si>
    <t xml:space="preserve">{Kitchen Appliances Supplied}</t>
  </si>
  <si>
    <t xml:space="preserve">Contingency (the Kitchen Contingency Rate)</t>
  </si>
  <si>
    <t xml:space="preserve">Kitchen Appliances Installed</t>
  </si>
  <si>
    <t xml:space="preserve">All appliances DB sets, including ones the customer buys</t>
  </si>
  <si>
    <t xml:space="preserve">{Kitchen Appliances Installed}</t>
  </si>
  <si>
    <t xml:space="preserve">Ballpark total</t>
  </si>
  <si>
    <t xml:space="preserve">Kitchen Fixtures Replaced</t>
  </si>
  <si>
    <t xml:space="preserve">Plumbing fixtures in the same spot: sink, dishwasher, fridge water line, pot filler</t>
  </si>
  <si>
    <t xml:space="preserve">{Kitchen Fixtures Replaced}</t>
  </si>
  <si>
    <t xml:space="preserve">Check: equals Template total</t>
  </si>
  <si>
    <t xml:space="preserve">Kitchen Fixtures Relocated</t>
  </si>
  <si>
    <t xml:space="preserve">Fixtures whose drain, supply or gas line moves (an island sink counts)</t>
  </si>
  <si>
    <t xml:space="preserve">{Kitchen Fixtures Relocated}</t>
  </si>
  <si>
    <t xml:space="preserve">Kitchen New Flooring Area</t>
  </si>
  <si>
    <t xml:space="preserve">SF of new flooring, including any beyond the kitchen</t>
  </si>
  <si>
    <t xml:space="preserve">{Kitchen New Flooring Area}</t>
  </si>
  <si>
    <t xml:space="preserve">Budget range shown to customer</t>
  </si>
  <si>
    <t xml:space="preserve">Kitchen Light Fixtures</t>
  </si>
  <si>
    <t xml:space="preserve">Pendants or ceiling fixtures replaced</t>
  </si>
  <si>
    <t xml:space="preserve">{Kitchen Light Fixtures}</t>
  </si>
  <si>
    <t xml:space="preserve">Low</t>
  </si>
  <si>
    <t xml:space="preserve">Kitchen Recessed Lights</t>
  </si>
  <si>
    <t xml:space="preserve">New recessed cans</t>
  </si>
  <si>
    <t xml:space="preserve">{Kitchen Recessed Lights}</t>
  </si>
  <si>
    <t xml:space="preserve">High</t>
  </si>
  <si>
    <t xml:space="preserve">Kitchen Circuits Added</t>
  </si>
  <si>
    <t xml:space="preserve">New appliance circuits, GFCI runs, island outlets</t>
  </si>
  <si>
    <t xml:space="preserve">{Kitchen Circuits Added}</t>
  </si>
  <si>
    <t xml:space="preserve">Kitchen Under-Cabinet Lighting</t>
  </si>
  <si>
    <t xml:space="preserve">1 = add under-cabinet lighting</t>
  </si>
  <si>
    <t xml:space="preserve">{Kitchen Under-Cabinet Lighting}</t>
  </si>
  <si>
    <t xml:space="preserve">Totals exclude sales tax and the design agreement fee.</t>
  </si>
  <si>
    <t xml:space="preserve">Kitchen Walls Moved</t>
  </si>
  <si>
    <t xml:space="preserve">Walls framed, removed or relocated</t>
  </si>
  <si>
    <t xml:space="preserve">{Kitchen Walls Moved}</t>
  </si>
  <si>
    <t xml:space="preserve">The ± band is set on the Rates tab.</t>
  </si>
  <si>
    <t xml:space="preserve">Kitchen Subfloor Repair Area</t>
  </si>
  <si>
    <t xml:space="preserve">SF of subfloor or sheathing repair observed</t>
  </si>
  <si>
    <t xml:space="preserve">{Kitchen Subfloor Repair Area}</t>
  </si>
  <si>
    <t xml:space="preserve">Kitchen Interior Doors</t>
  </si>
  <si>
    <t xml:space="preserve">Interior doors replaced</t>
  </si>
  <si>
    <t xml:space="preserve">{Kitchen Interior Doors}</t>
  </si>
  <si>
    <t xml:space="preserve">Kitchen Exterior Doors</t>
  </si>
  <si>
    <t xml:space="preserve">Exterior doors replaced</t>
  </si>
  <si>
    <t xml:space="preserve">{Kitchen Exterior Doors}</t>
  </si>
  <si>
    <t xml:space="preserve">Kitchen HVAC Work</t>
  </si>
  <si>
    <t xml:space="preserve">1 = register or duct moved</t>
  </si>
  <si>
    <t xml:space="preserve">{Kitchen HVAC Work}</t>
  </si>
  <si>
    <t xml:space="preserve">Kitchen Dumpster Loads</t>
  </si>
  <si>
    <t xml:space="preserve">Haul-away loads (1 for most kitchens; 2-3 when walls come out)</t>
  </si>
  <si>
    <t xml:space="preserve">{Kitchen Dumpster Loads}</t>
  </si>
  <si>
    <t xml:space="preserve">Kitchen Travel Hours</t>
  </si>
  <si>
    <t xml:space="preserve">Crew travel hours for jobs past the standard service zone</t>
  </si>
  <si>
    <t xml:space="preserve">{Kitchen Travel Hours}</t>
  </si>
  <si>
    <t xml:space="preserve">Kitchen Contingency Rate</t>
  </si>
  <si>
    <t xml:space="preserve">Contingency as a % of the tier total, set by the estimator: 5 for a refresh that keeps the layout, 8 when anything moves</t>
  </si>
  <si>
    <t xml:space="preserve">{Kitchen Contingency Rate}</t>
  </si>
  <si>
    <t xml:space="preserve">JobTread build sheet: cost group "BALLPARK — Kitchen"</t>
  </si>
  <si>
    <t xml:space="preserve">One row per JobTread line. Paste the quantity formula exactly as written into the catalog item. Rows marked [each tier] become one item in each of the Good, Better and Best option groups, at that tier's cost. Rows marked with a single tier go only in that option. All other rows are common scope.</t>
  </si>
  <si>
    <t xml:space="preserve">#</t>
  </si>
  <si>
    <t xml:space="preserve">JobTread cost group path</t>
  </si>
  <si>
    <t xml:space="preserve">Line item</t>
  </si>
  <si>
    <t xml:space="preserve">Cost code</t>
  </si>
  <si>
    <t xml:space="preserve">Unit</t>
  </si>
  <si>
    <t xml:space="preserve">JobTread quantity formula</t>
  </si>
  <si>
    <t xml:space="preserve">Qty (live)</t>
  </si>
  <si>
    <t xml:space="preserve">Good cost</t>
  </si>
  <si>
    <t xml:space="preserve">Good type</t>
  </si>
  <si>
    <t xml:space="preserve">Good unit price</t>
  </si>
  <si>
    <t xml:space="preserve">Good total</t>
  </si>
  <si>
    <t xml:space="preserve">Better cost</t>
  </si>
  <si>
    <t xml:space="preserve">Better type</t>
  </si>
  <si>
    <t xml:space="preserve">Better unit price</t>
  </si>
  <si>
    <t xml:space="preserve">Better total</t>
  </si>
  <si>
    <t xml:space="preserve">Best cost</t>
  </si>
  <si>
    <t xml:space="preserve">Best type</t>
  </si>
  <si>
    <t xml:space="preserve">Best unit price</t>
  </si>
  <si>
    <t xml:space="preserve">Best total</t>
  </si>
  <si>
    <t xml:space="preserve">Allowance type</t>
  </si>
  <si>
    <t xml:space="preserve">Note</t>
  </si>
  <si>
    <t xml:space="preserve">BALLPARK — Kitchen &gt; Phase 1 - General Requirements &gt; Permits</t>
  </si>
  <si>
    <t xml:space="preserve">Permit</t>
  </si>
  <si>
    <t xml:space="preserve">General Requirements</t>
  </si>
  <si>
    <t xml:space="preserve">Lump Sum</t>
  </si>
  <si>
    <t xml:space="preserve">1</t>
  </si>
  <si>
    <t xml:space="preserve">O</t>
  </si>
  <si>
    <t xml:space="preserve">Kitchen permits on DB's two full kitchens were $275 and $287 price. Adjust per city.</t>
  </si>
  <si>
    <t xml:space="preserve">BALLPARK — Kitchen &gt; Phase 1 - General Requirements &gt; Project/Site Management</t>
  </si>
  <si>
    <t xml:space="preserve">Project Management (C)</t>
  </si>
  <si>
    <t xml:space="preserve">Project Management</t>
  </si>
  <si>
    <t xml:space="preserve">Hours</t>
  </si>
  <si>
    <t xml:space="preserve">4 + 4*{Kitchen Full Gut}</t>
  </si>
  <si>
    <t xml:space="preserve">L</t>
  </si>
  <si>
    <t xml:space="preserve">BALLPARK — Kitchen &gt; Phase 1 - General Requirements &gt; Site Preparation</t>
  </si>
  <si>
    <t xml:space="preserve">Site Prep Material</t>
  </si>
  <si>
    <t xml:space="preserve">Site Construction</t>
  </si>
  <si>
    <t xml:space="preserve">Each</t>
  </si>
  <si>
    <t xml:space="preserve">M</t>
  </si>
  <si>
    <t xml:space="preserve">Site Prep Labor</t>
  </si>
  <si>
    <t xml:space="preserve">Site Prep/Clean Up</t>
  </si>
  <si>
    <t xml:space="preserve">2</t>
  </si>
  <si>
    <t xml:space="preserve">BALLPARK — Kitchen &gt; Phase 1 - General Requirements &gt; Demolition</t>
  </si>
  <si>
    <t xml:space="preserve">Demolition</t>
  </si>
  <si>
    <t xml:space="preserve">8 + {Kitchen Full Gut}*ceil({Kitchen Floor Area}/15) + 6*{Kitchen Walls Moved}</t>
  </si>
  <si>
    <t xml:space="preserve">8 h setup, plus 1 h per 15 SF when gutted, plus 6 h per wall moved.</t>
  </si>
  <si>
    <t xml:space="preserve">BALLPARK — Kitchen &gt; Phase 1 - General Requirements &gt; Site Clean Up</t>
  </si>
  <si>
    <t xml:space="preserve">Hauling &amp; Disposal</t>
  </si>
  <si>
    <t xml:space="preserve">Hauling &amp; Disposal (Direct)</t>
  </si>
  <si>
    <t xml:space="preserve">Uses DB's existing catalog item: $250 cost / $450 price per load.</t>
  </si>
  <si>
    <t xml:space="preserve">Final Clean</t>
  </si>
  <si>
    <t xml:space="preserve">2 + 2*{Kitchen Full Gut}</t>
  </si>
  <si>
    <t xml:space="preserve">BALLPARK — Kitchen &gt; Phase 1 - General Requirements &gt; Travel</t>
  </si>
  <si>
    <t xml:space="preserve">Travel</t>
  </si>
  <si>
    <t xml:space="preserve">Travel Related Costs</t>
  </si>
  <si>
    <t xml:space="preserve">BALLPARK — Kitchen &gt; Phase 2 - Rough-In &gt; Framing Materials</t>
  </si>
  <si>
    <t xml:space="preserve">Framing/Sheathing Materials</t>
  </si>
  <si>
    <t xml:space="preserve">Woods &amp; Plastics</t>
  </si>
  <si>
    <t xml:space="preserve">{Kitchen Full Gut} + 3*{Kitchen Walls Moved} + ceil({Kitchen Subfloor Repair Area}/32)</t>
  </si>
  <si>
    <t xml:space="preserve">Framing/Sheathing Labor</t>
  </si>
  <si>
    <t xml:space="preserve">Framing/Sheeting</t>
  </si>
  <si>
    <t xml:space="preserve">4*{Kitchen Full Gut} + 8*{Kitchen Walls Moved} + ceil({Kitchen Subfloor Repair Area}/8)</t>
  </si>
  <si>
    <t xml:space="preserve">BALLPARK — Kitchen &gt; Phase 2 - Rough-In &gt; Plumbing - Rough-In</t>
  </si>
  <si>
    <t xml:space="preserve">Plumbing Materials</t>
  </si>
  <si>
    <t xml:space="preserve">Mechanical (Plumbing &amp; HVAC)</t>
  </si>
  <si>
    <t xml:space="preserve">1 + {Kitchen Fixtures Replaced} + 5*{Kitchen Fixtures Relocated}</t>
  </si>
  <si>
    <t xml:space="preserve">Relocations (island sink, moved range gas line) add $500 cost each.</t>
  </si>
  <si>
    <t xml:space="preserve">Plumbing Labor</t>
  </si>
  <si>
    <t xml:space="preserve">3 + round(2.5*{Kitchen Fixtures Replaced}) + 4*{Kitchen Fixtures Relocated}</t>
  </si>
  <si>
    <t xml:space="preserve">HVAC Materials</t>
  </si>
  <si>
    <t xml:space="preserve">HVAC Labor</t>
  </si>
  <si>
    <t xml:space="preserve">2*{Kitchen HVAC Work}</t>
  </si>
  <si>
    <t xml:space="preserve">BALLPARK — Kitchen &gt; Phase 2 - Rough-In &gt; Electrical - Rough-In</t>
  </si>
  <si>
    <t xml:space="preserve">Electrical Materials</t>
  </si>
  <si>
    <t xml:space="preserve">Electrical</t>
  </si>
  <si>
    <t xml:space="preserve">Square Foot</t>
  </si>
  <si>
    <t xml:space="preserve">DB prices kitchen electrical material per SF of floor: $2.61 cost ($3.78 price) on both full kitchens.</t>
  </si>
  <si>
    <t xml:space="preserve">Electrical Labor</t>
  </si>
  <si>
    <t xml:space="preserve">4 + {Kitchen Light Fixtures} + {Kitchen Recessed Lights} + 3*{Kitchen Circuits Added} + 3*{Kitchen Under-Cabinet Lighting}</t>
  </si>
  <si>
    <t xml:space="preserve">BALLPARK — Kitchen &gt; Phase 3 - Interior &gt; Drywall</t>
  </si>
  <si>
    <t xml:space="preserve">Drywall Materials</t>
  </si>
  <si>
    <t xml:space="preserve">Finishes</t>
  </si>
  <si>
    <t xml:space="preserve">1 + {Kitchen Full Gut}*ceil({Kitchen Floor Area}/10)</t>
  </si>
  <si>
    <t xml:space="preserve">About $2.30 cost per SF of floor when gutted, from DB's two full kitchens.</t>
  </si>
  <si>
    <t xml:space="preserve">Drywall Labor</t>
  </si>
  <si>
    <t xml:space="preserve">Drywall</t>
  </si>
  <si>
    <t xml:space="preserve">6 + {Kitchen Full Gut}*ceil({Kitchen Floor Area}/15)</t>
  </si>
  <si>
    <t xml:space="preserve">BALLPARK — Kitchen &gt; Phase 3 - Interior &gt; Paint</t>
  </si>
  <si>
    <t xml:space="preserve">Paint Materials</t>
  </si>
  <si>
    <t xml:space="preserve">1 + {Kitchen Full Gut}</t>
  </si>
  <si>
    <t xml:space="preserve">Paint Labor</t>
  </si>
  <si>
    <t xml:space="preserve">Painting</t>
  </si>
  <si>
    <t xml:space="preserve">3 + ceil({Kitchen Floor Area}/20)</t>
  </si>
  <si>
    <t xml:space="preserve">BALLPARK — Kitchen &gt; Phase 3 - Interior &gt; Flooring</t>
  </si>
  <si>
    <t xml:space="preserve">Flooring - Misc. Material</t>
  </si>
  <si>
    <t xml:space="preserve">BALLPARK — Kitchen &gt; Phase 4 - Finishes &gt; Cabinetry</t>
  </si>
  <si>
    <t xml:space="preserve">Cabinet Knob/Pull</t>
  </si>
  <si>
    <t xml:space="preserve">Cabinetry</t>
  </si>
  <si>
    <t xml:space="preserve">ceil(2.5*{Kitchen Cabinet Run})</t>
  </si>
  <si>
    <t xml:space="preserve">BALLPARK — Kitchen &gt; Phase 4 - Finishes &gt; Appliances</t>
  </si>
  <si>
    <t xml:space="preserve">Appliance Labor</t>
  </si>
  <si>
    <t xml:space="preserve">Appliances</t>
  </si>
  <si>
    <t xml:space="preserve">2*{Kitchen Appliances Installed}</t>
  </si>
  <si>
    <t xml:space="preserve">2 h per appliance set. DB carried 8 h for four appliances.</t>
  </si>
  <si>
    <t xml:space="preserve">BALLPARK — Kitchen &gt; Phase 4 - Finishes &gt; Interior Doors</t>
  </si>
  <si>
    <t xml:space="preserve">Interior Door</t>
  </si>
  <si>
    <t xml:space="preserve">Doors</t>
  </si>
  <si>
    <t xml:space="preserve">BALLPARK — Kitchen &gt; Phase 4 - Finishes &gt; Exterior Doors</t>
  </si>
  <si>
    <t xml:space="preserve">Exterior Door &amp; Lockset</t>
  </si>
  <si>
    <t xml:space="preserve">Matches the exterior door DB priced on its full kitchen: $1,675 door plus $109 lockset, price.</t>
  </si>
  <si>
    <t xml:space="preserve">Door Labor</t>
  </si>
  <si>
    <t xml:space="preserve">3*{Kitchen Interior Doors} + 8*{Kitchen Exterior Doors}</t>
  </si>
  <si>
    <t xml:space="preserve">BALLPARK — Kitchen &gt; Phase 4 - Finishes &gt; Interior Trims &amp; Finishes</t>
  </si>
  <si>
    <t xml:space="preserve">Trim Materials</t>
  </si>
  <si>
    <t xml:space="preserve">Trim Labor</t>
  </si>
  <si>
    <t xml:space="preserve">Interior Trim/Casing/Paneling</t>
  </si>
  <si>
    <t xml:space="preserve">2 + {Kitchen Full Gut}*ceil({Kitchen Floor Area}/12) + {Kitchen Interior Doors} + 2*{Kitchen Exterior Doors}</t>
  </si>
  <si>
    <t xml:space="preserve">BALLPARK — Kitchen &gt; Finish Level (select one) &gt; [each tier]</t>
  </si>
  <si>
    <t xml:space="preserve">Cabinets</t>
  </si>
  <si>
    <t xml:space="preserve">Linear Feet</t>
  </si>
  <si>
    <t xml:space="preserve">Price</t>
  </si>
  <si>
    <t xml:space="preserve">Per linear foot of base-cabinet run, uppers and towers included (DB's own convention). Good = stock builder line ($270 price per LF on DB's apartment kitchens). Better = $600 cost, DB's standard cabinet allowance. Best = premium line such as KraftMaid plywood or painted; DB's kitchen addition bid $1,178 price per LF.</t>
  </si>
  <si>
    <t xml:space="preserve">BALLPARK — Kitchen &gt; Finish Level (select one) &gt; Good</t>
  </si>
  <si>
    <t xml:space="preserve">Cabinetry Labor — Good</t>
  </si>
  <si>
    <t xml:space="preserve">4 + ceil(1.1*{Kitchen Cabinet Run})</t>
  </si>
  <si>
    <t xml:space="preserve">One item per tier: 4 h plus 1.1 / 1.3 / 1.5 h per foot of run. Premium lines take longer to set.</t>
  </si>
  <si>
    <t xml:space="preserve">BALLPARK — Kitchen &gt; Finish Level (select one) &gt; Better</t>
  </si>
  <si>
    <t xml:space="preserve">Cabinetry Labor — Better</t>
  </si>
  <si>
    <t xml:space="preserve">4 + ceil(1.3*{Kitchen Cabinet Run})</t>
  </si>
  <si>
    <t xml:space="preserve">BALLPARK — Kitchen &gt; Finish Level (select one) &gt; Best</t>
  </si>
  <si>
    <t xml:space="preserve">Cabinetry Labor — Best</t>
  </si>
  <si>
    <t xml:space="preserve">4 + ceil(1.5*{Kitchen Cabinet Run})</t>
  </si>
  <si>
    <t xml:space="preserve">Countertops</t>
  </si>
  <si>
    <t xml:space="preserve">2*{Kitchen Cabinet Run} + ceil(1.5*{Kitchen Island Length})</t>
  </si>
  <si>
    <t xml:space="preserve">S</t>
  </si>
  <si>
    <t xml:space="preserve">SF = 2 per foot of run plus 1.5 per foot of island. Good = laminate ($33.75 price per SF on DB's apartment kitchens). Better = entry quartz. Best = 3 cm premium quartz; DB's other bids priced it at $117–$120 cost per SF.</t>
  </si>
  <si>
    <t xml:space="preserve">Backsplash</t>
  </si>
  <si>
    <t xml:space="preserve">Tiling</t>
  </si>
  <si>
    <t xml:space="preserve">{Kitchen Backsplash}*ceil(1.5*({Kitchen Cabinet Run} - {Kitchen Island Length}))</t>
  </si>
  <si>
    <t xml:space="preserve">SF = 1.5 ft high along the wall run. Good/Better = tile set by the tile sub. Best = quartz slab to match the counters. A full-height slab can cost twice this (one kitchen's ran $12,604).</t>
  </si>
  <si>
    <t xml:space="preserve">Sink, Faucet &amp; Disposal</t>
  </si>
  <si>
    <t xml:space="preserve">Appliance Allowance</t>
  </si>
  <si>
    <t xml:space="preserve">Only appliances DB buys. Many customers supply their own; they still count toward install hours.</t>
  </si>
  <si>
    <t xml:space="preserve">Flooring Material</t>
  </si>
  <si>
    <t xml:space="preserve">Good/Better = LVP installed by DB crew. Best = tile set by the tile sub, installed price per SF.</t>
  </si>
  <si>
    <t xml:space="preserve">Flooring Labor — Good</t>
  </si>
  <si>
    <t xml:space="preserve">Flooring</t>
  </si>
  <si>
    <t xml:space="preserve">ceil({Kitchen New Flooring Area}/20) + ceil({Kitchen New Flooring Area}/10000)</t>
  </si>
  <si>
    <t xml:space="preserve">Good and Better only. Best has no DB flooring labor because the tile sub installs.</t>
  </si>
  <si>
    <t xml:space="preserve">Flooring Labor — Better</t>
  </si>
  <si>
    <t xml:space="preserve">Light Fixture</t>
  </si>
  <si>
    <t xml:space="preserve">Recessed Light</t>
  </si>
  <si>
    <t xml:space="preserve">Under-Cabinet Lighting</t>
  </si>
  <si>
    <t xml:space="preserve">Contingency — Good</t>
  </si>
  <si>
    <t xml:space="preserve">Contingency</t>
  </si>
  <si>
    <t xml:space="preserve">{Kitchen Contingency Rate}/100*((1)*275.5 + (4 + 4*{Kitchen Full Gut})*100 + (1)*217.5 + (2)*100 + (8 + {Kitchen Full Gut}*ceil({Kitchen Floor Area}/15) + 6*{Kitchen Walls Moved})*100 + ({Kitchen Dumpster Loads})*450 + (2 + 2*{Kitchen Full Gut})*100 + ({Kitchen Travel Hours})*100 + ({Kitchen Full Gut} + 3*{Kitchen Walls Moved} + ceil({Kitchen Subfloor Repair Area}/32))*217.5 + (4*{Kitchen Full Gut} + 8*{Kitchen Walls Moved} + ceil({Kitchen Subfloor Repair Area}/8))*100 + (1 + {Kitchen Fixtures Replaced} + 5*{Kitchen Fixtures Relocated})*145 + (3 + round(2.5*{Kitchen Fixtures Replaced}) + 4*{Kitchen Fixtures Relocated})*100 + ({Kitchen HVAC Work})*145 + (2*{Kitchen HVAC Work})*100 + ({Kitchen Floor Area})*3.7845 + (4 + {Kitchen Light Fixtures} + {Kitchen Recessed Lights} + 3*{Kitchen Circuits Added} + 3*{Kitchen Under-Cabinet Lighting})*100 + (1 + {Kitchen Full Gut}*ceil({Kitchen Floor Area}/10))*33.35 + (6 + {Kitchen Full Gut}*ceil({Kitchen Floor Area}/15))*100 + (1 + {Kitchen Full Gut})*166.75 + (3 + ceil({Kitchen Floor Area}/20))*100 + ({Kitchen New Flooring Area})*1.0875 + (ceil(2.5*{Kitchen Cabinet Run}))*14.5 + (2*{Kitchen Appliances Installed})*100 + ({Kitchen Interior Doors})*580 + ({Kitchen Exterior Doors})*1783.5 + (3*{Kitchen Interior Doors} + 8*{Kitchen Exterior Doors})*100 + (1 + {Kitchen Full Gut}*ceil({Kitchen Floor Area}/10))*29 + (2 + {Kitchen Full Gut}*ceil({Kitchen Floor Area}/12) + {Kitchen Interior Doors} + 2*{Kitchen Exterior Doors})*100 + ({Kitchen Cabinet Run})*580 + (4 + ceil(1.1*{Kitchen Cabinet Run}))*100 + (2*{Kitchen Cabinet Run} + ceil(1.5*{Kitchen Island Length}))*33.35 + ({Kitchen Backsplash}*ceil(1.5*({Kitchen Cabinet Run} - {Kitchen Island Length})))*26 + (1)*435 + ({Kitchen Appliances Supplied})*1015 + ({Kitchen New Flooring Area})*5.8 + (ceil({Kitchen New Flooring Area}/20) + ceil({Kitchen New Flooring Area}/10000))*100 + ({Kitchen Light Fixtures})*116 + ({Kitchen Recessed Lights})*36.25 + ({Kitchen Under-Cabinet Lighting})*435)</t>
  </si>
  <si>
    <t xml:space="preserve">C</t>
  </si>
  <si>
    <t xml:space="preserve">Contingency: the rate times this tier's whole price before contingency. JobTread formulas cannot reference other lines, so the subtotal is spelled out; regenerate this formula (run the build script) after any rate change. Unit price $1.00, cost type Other with markup 0, cost code Contingency.</t>
  </si>
  <si>
    <t xml:space="preserve">Contingency — Better</t>
  </si>
  <si>
    <t xml:space="preserve">{Kitchen Contingency Rate}/100*((1)*275.5 + (4 + 4*{Kitchen Full Gut})*100 + (1)*217.5 + (2)*100 + (8 + {Kitchen Full Gut}*ceil({Kitchen Floor Area}/15) + 6*{Kitchen Walls Moved})*100 + ({Kitchen Dumpster Loads})*450 + (2 + 2*{Kitchen Full Gut})*100 + ({Kitchen Travel Hours})*100 + ({Kitchen Full Gut} + 3*{Kitchen Walls Moved} + ceil({Kitchen Subfloor Repair Area}/32))*217.5 + (4*{Kitchen Full Gut} + 8*{Kitchen Walls Moved} + ceil({Kitchen Subfloor Repair Area}/8))*100 + (1 + {Kitchen Fixtures Replaced} + 5*{Kitchen Fixtures Relocated})*145 + (3 + round(2.5*{Kitchen Fixtures Replaced}) + 4*{Kitchen Fixtures Relocated})*100 + ({Kitchen HVAC Work})*145 + (2*{Kitchen HVAC Work})*100 + ({Kitchen Floor Area})*3.7845 + (4 + {Kitchen Light Fixtures} + {Kitchen Recessed Lights} + 3*{Kitchen Circuits Added} + 3*{Kitchen Under-Cabinet Lighting})*100 + (1 + {Kitchen Full Gut}*ceil({Kitchen Floor Area}/10))*33.35 + (6 + {Kitchen Full Gut}*ceil({Kitchen Floor Area}/15))*100 + (1 + {Kitchen Full Gut})*166.75 + (3 + ceil({Kitchen Floor Area}/20))*100 + ({Kitchen New Flooring Area})*1.0875 + (ceil(2.5*{Kitchen Cabinet Run}))*14.5 + (2*{Kitchen Appliances Installed})*100 + ({Kitchen Interior Doors})*580 + ({Kitchen Exterior Doors})*1783.5 + (3*{Kitchen Interior Doors} + 8*{Kitchen Exterior Doors})*100 + (1 + {Kitchen Full Gut}*ceil({Kitchen Floor Area}/10))*29 + (2 + {Kitchen Full Gut}*ceil({Kitchen Floor Area}/12) + {Kitchen Interior Doors} + 2*{Kitchen Exterior Doors})*100 + ({Kitchen Cabinet Run})*870 + (4 + ceil(1.3*{Kitchen Cabinet Run}))*100 + (2*{Kitchen Cabinet Run} + ceil(1.5*{Kitchen Island Length}))*104 + ({Kitchen Backsplash}*ceil(1.5*({Kitchen Cabinet Run} - {Kitchen Island Length})))*45.5 + (1)*870 + ({Kitchen Appliances Supplied})*2030 + ({Kitchen New Flooring Area})*7.25 + (ceil({Kitchen New Flooring Area}/20) + ceil({Kitchen New Flooring Area}/10000))*100 + ({Kitchen Light Fixtures})*261 + ({Kitchen Recessed Lights})*50.75 + ({Kitchen Under-Cabinet Lighting})*725)</t>
  </si>
  <si>
    <t xml:space="preserve">Contingency — Best</t>
  </si>
  <si>
    <t xml:space="preserve">{Kitchen Contingency Rate}/100*((1)*275.5 + (4 + 4*{Kitchen Full Gut})*100 + (1)*217.5 + (2)*100 + (8 + {Kitchen Full Gut}*ceil({Kitchen Floor Area}/15) + 6*{Kitchen Walls Moved})*100 + ({Kitchen Dumpster Loads})*450 + (2 + 2*{Kitchen Full Gut})*100 + ({Kitchen Travel Hours})*100 + ({Kitchen Full Gut} + 3*{Kitchen Walls Moved} + ceil({Kitchen Subfloor Repair Area}/32))*217.5 + (4*{Kitchen Full Gut} + 8*{Kitchen Walls Moved} + ceil({Kitchen Subfloor Repair Area}/8))*100 + (1 + {Kitchen Fixtures Replaced} + 5*{Kitchen Fixtures Relocated})*145 + (3 + round(2.5*{Kitchen Fixtures Replaced}) + 4*{Kitchen Fixtures Relocated})*100 + ({Kitchen HVAC Work})*145 + (2*{Kitchen HVAC Work})*100 + ({Kitchen Floor Area})*3.7845 + (4 + {Kitchen Light Fixtures} + {Kitchen Recessed Lights} + 3*{Kitchen Circuits Added} + 3*{Kitchen Under-Cabinet Lighting})*100 + (1 + {Kitchen Full Gut}*ceil({Kitchen Floor Area}/10))*33.35 + (6 + {Kitchen Full Gut}*ceil({Kitchen Floor Area}/15))*100 + (1 + {Kitchen Full Gut})*166.75 + (3 + ceil({Kitchen Floor Area}/20))*100 + ({Kitchen New Flooring Area})*1.0875 + (ceil(2.5*{Kitchen Cabinet Run}))*14.5 + (2*{Kitchen Appliances Installed})*100 + ({Kitchen Interior Doors})*580 + ({Kitchen Exterior Doors})*1783.5 + (3*{Kitchen Interior Doors} + 8*{Kitchen Exterior Doors})*100 + (1 + {Kitchen Full Gut}*ceil({Kitchen Floor Area}/10))*29 + (2 + {Kitchen Full Gut}*ceil({Kitchen Floor Area}/12) + {Kitchen Interior Doors} + 2*{Kitchen Exterior Doors})*100 + ({Kitchen Cabinet Run})*1305 + (4 + ceil(1.5*{Kitchen Cabinet Run}))*100 + (2*{Kitchen Cabinet Run} + ceil(1.5*{Kitchen Island Length}))*159.9 + ({Kitchen Backsplash}*ceil(1.5*({Kitchen Cabinet Run} - {Kitchen Island Length})))*156 + (1)*1450 + ({Kitchen Appliances Supplied})*3335 + ({Kitchen New Flooring Area})*19.5 + ({Kitchen Light Fixtures})*507.5 + ({Kitchen Recessed Lights})*87 + ({Kitchen Under-Cabinet Lighting})*1116.5)</t>
  </si>
  <si>
    <t xml:space="preserve">TOTAL</t>
  </si>
  <si>
    <t xml:space="preserve">JobTread job parameters used by the formulas</t>
  </si>
  <si>
    <t xml:space="preserve">Verified 27 Sep 2026: formula variables are job parameters (job.parameters), the same mechanism DB's roofing formulas use. Names must match exactly. Every name starts with 'Kitchen ' so a job carrying more than one ballpark template never shares a parameter between rooms.</t>
  </si>
  <si>
    <t xml:space="preserve">JobTread parameter</t>
  </si>
  <si>
    <t xml:space="preserve">Type</t>
  </si>
  <si>
    <t xml:space="preserve">Default</t>
  </si>
  <si>
    <t xml:space="preserve">How to measure / count</t>
  </si>
  <si>
    <t xml:space="preserve">Used by (line items)</t>
  </si>
  <si>
    <t xml:space="preserve">Number</t>
  </si>
  <si>
    <t xml:space="preserve">Demolition, Drywall Labor, Drywall Materials, Electrical Materials, Paint Labor, Trim Labor, Trim Materials</t>
  </si>
  <si>
    <t xml:space="preserve">Demolition, Drywall Labor, Drywall Materials, Final Clean, Framing/Sheathing Labor, Framing/Sheathing Materials, Paint Materials, Project Management (C), Trim Labor, Trim Materials</t>
  </si>
  <si>
    <t xml:space="preserve">Backsplash, Cabinet Knob/Pull, Cabinetry Labor, Cabinets, Countertops</t>
  </si>
  <si>
    <t xml:space="preserve">Backsplash, Countertops</t>
  </si>
  <si>
    <t xml:space="preserve">Plumbing Labor, Plumbing Materials</t>
  </si>
  <si>
    <t xml:space="preserve">Flooring - Misc. Material, Flooring Labor, Flooring Material</t>
  </si>
  <si>
    <t xml:space="preserve">Electrical Labor, Light Fixture</t>
  </si>
  <si>
    <t xml:space="preserve">Electrical Labor, Recessed Light</t>
  </si>
  <si>
    <t xml:space="preserve">Electrical Labor, Under-Cabinet Lighting</t>
  </si>
  <si>
    <t xml:space="preserve">Demolition, Framing/Sheathing Labor, Framing/Sheathing Materials</t>
  </si>
  <si>
    <t xml:space="preserve">Framing/Sheathing Labor, Framing/Sheathing Materials</t>
  </si>
  <si>
    <t xml:space="preserve">Door Labor, Interior Door, Trim Labor</t>
  </si>
  <si>
    <t xml:space="preserve">Door Labor, Exterior Door &amp; Lockset, Trim Labor</t>
  </si>
  <si>
    <t xml:space="preserve">HVAC Labor, HVAC Materials</t>
  </si>
  <si>
    <t xml:space="preserve">Markup by cost type</t>
  </si>
  <si>
    <t xml:space="preserve">Cost type code</t>
  </si>
  <si>
    <t xml:space="preserve">Cost type</t>
  </si>
  <si>
    <t xml:space="preserve">Price ÷ cost</t>
  </si>
  <si>
    <t xml:space="preserve">Labor</t>
  </si>
  <si>
    <t xml:space="preserve">DB catalog labor: $55 cost / $100 price per hour (a 45% margin).</t>
  </si>
  <si>
    <t xml:space="preserve">Materials</t>
  </si>
  <si>
    <t xml:space="preserve">DB catalog materials: ×1.45 with zero variance across the catalog (field notes §9).</t>
  </si>
  <si>
    <t xml:space="preserve">Subcontractor</t>
  </si>
  <si>
    <t xml:space="preserve">Countertop, tile and flooring subs in DB's estimates were marked up ×1.30.</t>
  </si>
  <si>
    <t xml:space="preserve">Other</t>
  </si>
  <si>
    <t xml:space="preserve">Permits and misc. fees: ×1.45.</t>
  </si>
  <si>
    <t xml:space="preserve">U</t>
  </si>
  <si>
    <t xml:space="preserve">Labor, per unit</t>
  </si>
  <si>
    <t xml:space="preserve">Labor the catalog prices per square or foot (siding, roofing, gutters). JobTread cost type Labor, marked up ×1.45 like the catalog.</t>
  </si>
  <si>
    <t xml:space="preserve">Its own line, carried at cost so it can be reported and credited. JobTread cost type Other with the markup set to 0, cost code Contingency.</t>
  </si>
  <si>
    <t xml:space="preserve">Labor cost per hour</t>
  </si>
  <si>
    <t xml:space="preserve">Used as the unit cost of every labor line on the Template tab.</t>
  </si>
  <si>
    <t xml:space="preserve">Labor price per hour</t>
  </si>
  <si>
    <t xml:space="preserve">Budget range accuracy (±)</t>
  </si>
  <si>
    <t xml:space="preserve">Kitchens are quoted at ±20% until three have closed and the calibration is re-run (then ±15%).</t>
  </si>
  <si>
    <t xml:space="preserve">Checks against every kitchen DB has estimated since the move to JobTread</t>
  </si>
  <si>
    <t xml:space="preserve">Full kitchens: actual = JobTread estimate total less design-fee lines. Intake was rebuilt from each estimate's own lines, and the tier from its products, so this checks that the template reproduces DB's pricing. It is not an out-of-sample test.</t>
  </si>
  <si>
    <t xml:space="preserve">Structure = everything except the finish selections (labor, rough-in, demo, drywall, general requirements).</t>
  </si>
  <si>
    <t xml:space="preserve">Full kitchen estimates</t>
  </si>
  <si>
    <t xml:space="preserve">Job</t>
  </si>
  <si>
    <t xml:space="preserve">Status</t>
  </si>
  <si>
    <t xml:space="preserve">Actual total</t>
  </si>
  <si>
    <t xml:space="preserve">Model Good</t>
  </si>
  <si>
    <t xml:space="preserve">Model Better</t>
  </si>
  <si>
    <t xml:space="preserve">Model Best</t>
  </si>
  <si>
    <t xml:space="preserve">Model at the tier quoted</t>
  </si>
  <si>
    <t xml:space="preserve">Error at tier</t>
  </si>
  <si>
    <t xml:space="preserve">Structure actual</t>
  </si>
  <si>
    <t xml:space="preserve">Structure model</t>
  </si>
  <si>
    <t xml:space="preserve">Structure error</t>
  </si>
  <si>
    <t xml:space="preserve">261384</t>
  </si>
  <si>
    <t xml:space="preserve">pending</t>
  </si>
  <si>
    <t xml:space="preserve">261062</t>
  </si>
  <si>
    <t xml:space="preserve">Component checks against kitchen lines inside larger bids</t>
  </si>
  <si>
    <t xml:space="preserve">Source estimate</t>
  </si>
  <si>
    <t xml:space="preserve">What</t>
  </si>
  <si>
    <t xml:space="preserve">Actual</t>
  </si>
  <si>
    <t xml:space="preserve">Model</t>
  </si>
  <si>
    <t xml:space="preserve">Error</t>
  </si>
  <si>
    <t xml:space="preserve">261268 whole-house remodel</t>
  </si>
  <si>
    <t xml:space="preserve">Cabinets $/LF (Better)</t>
  </si>
  <si>
    <t xml:space="preserve">258551 kitchen addition</t>
  </si>
  <si>
    <t xml:space="preserve">Cabinets $/LF (Best)</t>
  </si>
  <si>
    <t xml:space="preserve">258811 apartment kitchens</t>
  </si>
  <si>
    <t xml:space="preserve">Countertop $/SF (Good, laminate)</t>
  </si>
  <si>
    <t xml:space="preserve">Countertop $/SF (Best, quartz)</t>
  </si>
  <si>
    <t xml:space="preserve">Cabinet install hours, 28 LF (Better)</t>
  </si>
  <si>
    <t xml:space="preserve">Cabinet install hours, 30 LF (Best)</t>
  </si>
  <si>
    <t xml:space="preserve">Sources: 261384 and 261062 (full kitchens, pending); 261268 (whole-house remodel, 28 LF kitchen); 258551 (kitchen addition, lost); 258811 (three apartment kitchens, lost).</t>
  </si>
  <si>
    <t xml:space="preserve">Not used: 260599 (countertop-only bids), 260887 (kitchen lines too small to separate from the bathroom), 258781 and 260128 (a few kitchen items inside other work). The Kay Oss kitchen job is a test job.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</si>
</sst>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##;\-#,##0.##;\-"/>
    <numFmt numFmtId="166" formatCode="\$#,##0;&quot;($&quot;#,##0\);\-"/>
    <numFmt numFmtId="167" formatCode="\$#,##0.00;&quot;($&quot;#,##0.00\);\-"/>
    <numFmt numFmtId="168" formatCode="0.000"/>
    <numFmt numFmtId="169" formatCode="0%"/>
    <numFmt numFmtId="170" formatCode="\+0%;\-0%;0%"/>
    <numFmt numFmtId="171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23.8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18</v>
      </c>
    </row>
    <row r="25" customFormat="false" ht="23.8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32"/>
    <col collapsed="false" customWidth="true" hidden="false" outlineLevel="0" max="6" min="6" style="0" width="30"/>
    <col collapsed="false" customWidth="true" hidden="false" outlineLevel="0" max="9" min="7" style="0" width="14"/>
  </cols>
  <sheetData>
    <row r="1" customFormat="false" ht="17.35" hidden="false" customHeight="false" outlineLevel="0" collapsed="false">
      <c r="A1" s="5" t="s">
        <v>24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false" outlineLevel="0" collapsed="false">
      <c r="A2" s="7" t="s">
        <v>25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8" t="s">
        <v>26</v>
      </c>
      <c r="B4" s="8" t="s">
        <v>27</v>
      </c>
      <c r="C4" s="8" t="s">
        <v>28</v>
      </c>
      <c r="D4" s="8" t="s">
        <v>29</v>
      </c>
      <c r="E4" s="6"/>
      <c r="F4" s="9" t="s">
        <v>30</v>
      </c>
      <c r="G4" s="10" t="s">
        <v>31</v>
      </c>
      <c r="H4" s="10" t="s">
        <v>32</v>
      </c>
      <c r="I4" s="10" t="s">
        <v>33</v>
      </c>
    </row>
    <row r="5" customFormat="false" ht="15" hidden="false" customHeight="false" outlineLevel="0" collapsed="false">
      <c r="A5" s="11" t="s">
        <v>34</v>
      </c>
      <c r="B5" s="12" t="n">
        <v>180</v>
      </c>
      <c r="C5" s="7" t="s">
        <v>35</v>
      </c>
      <c r="D5" s="13" t="s">
        <v>36</v>
      </c>
      <c r="E5" s="6"/>
      <c r="F5" s="11" t="s">
        <v>37</v>
      </c>
      <c r="G5" s="14" t="n">
        <f aca="false">SUMIFS(Template!K5:K32,Template!B5:B32,"*Phase 1 -*")</f>
        <v>4343</v>
      </c>
      <c r="H5" s="14" t="n">
        <f aca="false">SUMIFS(Template!O5:O32,Template!B5:B32,"*Phase 1 -*")</f>
        <v>4343</v>
      </c>
      <c r="I5" s="14" t="n">
        <f aca="false">SUMIFS(Template!S5:S32,Template!B5:B32,"*Phase 1 -*")</f>
        <v>4343</v>
      </c>
    </row>
    <row r="6" customFormat="false" ht="15" hidden="false" customHeight="false" outlineLevel="0" collapsed="false">
      <c r="A6" s="11" t="s">
        <v>38</v>
      </c>
      <c r="B6" s="12" t="n">
        <v>1</v>
      </c>
      <c r="C6" s="7" t="s">
        <v>39</v>
      </c>
      <c r="D6" s="13" t="s">
        <v>40</v>
      </c>
      <c r="E6" s="6"/>
      <c r="F6" s="11" t="s">
        <v>41</v>
      </c>
      <c r="G6" s="14" t="n">
        <f aca="false">SUMIFS(Template!K5:K32,Template!B5:B32,"*Phase 2 -*")</f>
        <v>4933.71</v>
      </c>
      <c r="H6" s="14" t="n">
        <f aca="false">SUMIFS(Template!O5:O32,Template!B5:B32,"*Phase 2 -*")</f>
        <v>4933.71</v>
      </c>
      <c r="I6" s="14" t="n">
        <f aca="false">SUMIFS(Template!S5:S32,Template!B5:B32,"*Phase 2 -*")</f>
        <v>4933.71</v>
      </c>
    </row>
    <row r="7" customFormat="false" ht="15" hidden="false" customHeight="false" outlineLevel="0" collapsed="false">
      <c r="A7" s="11" t="s">
        <v>42</v>
      </c>
      <c r="B7" s="12" t="n">
        <v>26</v>
      </c>
      <c r="C7" s="7" t="s">
        <v>43</v>
      </c>
      <c r="D7" s="13" t="s">
        <v>44</v>
      </c>
      <c r="E7" s="6"/>
      <c r="F7" s="11" t="s">
        <v>45</v>
      </c>
      <c r="G7" s="14" t="n">
        <f aca="false">SUMIFS(Template!K5:K32,Template!B5:B32,"*Phase 3 -*")</f>
        <v>4162.9</v>
      </c>
      <c r="H7" s="14" t="n">
        <f aca="false">SUMIFS(Template!O5:O32,Template!B5:B32,"*Phase 3 -*")</f>
        <v>4162.9</v>
      </c>
      <c r="I7" s="14" t="n">
        <f aca="false">SUMIFS(Template!S5:S32,Template!B5:B32,"*Phase 3 -*")</f>
        <v>4162.9</v>
      </c>
    </row>
    <row r="8" customFormat="false" ht="15" hidden="false" customHeight="false" outlineLevel="0" collapsed="false">
      <c r="A8" s="11" t="s">
        <v>46</v>
      </c>
      <c r="B8" s="12" t="n">
        <v>6</v>
      </c>
      <c r="C8" s="7" t="s">
        <v>47</v>
      </c>
      <c r="D8" s="13" t="s">
        <v>48</v>
      </c>
      <c r="E8" s="6"/>
      <c r="F8" s="11" t="s">
        <v>49</v>
      </c>
      <c r="G8" s="14" t="n">
        <f aca="false">SUMIFS(Template!K5:K32,Template!B5:B32,"*Phase 4 -*")</f>
        <v>3993.5</v>
      </c>
      <c r="H8" s="14" t="n">
        <f aca="false">SUMIFS(Template!O5:O32,Template!B5:B32,"*Phase 4 -*")</f>
        <v>3993.5</v>
      </c>
      <c r="I8" s="14" t="n">
        <f aca="false">SUMIFS(Template!S5:S32,Template!B5:B32,"*Phase 4 -*")</f>
        <v>3993.5</v>
      </c>
    </row>
    <row r="9" customFormat="false" ht="15" hidden="false" customHeight="false" outlineLevel="0" collapsed="false">
      <c r="A9" s="11" t="s">
        <v>50</v>
      </c>
      <c r="B9" s="12" t="n">
        <v>1</v>
      </c>
      <c r="C9" s="7" t="s">
        <v>51</v>
      </c>
      <c r="D9" s="13" t="s">
        <v>52</v>
      </c>
      <c r="E9" s="6"/>
      <c r="F9" s="11" t="s">
        <v>53</v>
      </c>
      <c r="G9" s="14" t="n">
        <f aca="false">SUM(Template!K33:K46)</f>
        <v>24557.85</v>
      </c>
      <c r="H9" s="14" t="n">
        <f aca="false">SUM(Template!O33:O46)</f>
        <v>38855.5</v>
      </c>
      <c r="I9" s="14" t="n">
        <f aca="false">SUM(Template!S33:S46)</f>
        <v>60277.4</v>
      </c>
    </row>
    <row r="10" customFormat="false" ht="15" hidden="false" customHeight="false" outlineLevel="0" collapsed="false">
      <c r="A10" s="11" t="s">
        <v>54</v>
      </c>
      <c r="B10" s="12" t="n">
        <v>0</v>
      </c>
      <c r="C10" s="7" t="s">
        <v>55</v>
      </c>
      <c r="D10" s="13" t="s">
        <v>56</v>
      </c>
      <c r="E10" s="6"/>
      <c r="F10" s="11" t="s">
        <v>57</v>
      </c>
      <c r="G10" s="14" t="n">
        <f aca="false">SUM(Template!K47:K49)</f>
        <v>3359.2768</v>
      </c>
      <c r="H10" s="14" t="n">
        <f aca="false">SUM(Template!O47:O49)</f>
        <v>4503.0888</v>
      </c>
      <c r="I10" s="14" t="n">
        <f aca="false">SUM(Template!S47:S49)</f>
        <v>6216.8408</v>
      </c>
    </row>
    <row r="11" customFormat="false" ht="15" hidden="false" customHeight="false" outlineLevel="0" collapsed="false">
      <c r="A11" s="11" t="s">
        <v>58</v>
      </c>
      <c r="B11" s="12" t="n">
        <v>4</v>
      </c>
      <c r="C11" s="7" t="s">
        <v>59</v>
      </c>
      <c r="D11" s="13" t="s">
        <v>60</v>
      </c>
      <c r="E11" s="6"/>
      <c r="F11" s="15" t="s">
        <v>61</v>
      </c>
      <c r="G11" s="16" t="n">
        <f aca="false">SUM(G5:G10)</f>
        <v>45350.2368</v>
      </c>
      <c r="H11" s="16" t="n">
        <f aca="false">SUM(H5:H10)</f>
        <v>60791.6988</v>
      </c>
      <c r="I11" s="16" t="n">
        <f aca="false">SUM(I5:I10)</f>
        <v>83927.3508</v>
      </c>
    </row>
    <row r="12" customFormat="false" ht="15" hidden="false" customHeight="false" outlineLevel="0" collapsed="false">
      <c r="A12" s="11" t="s">
        <v>62</v>
      </c>
      <c r="B12" s="12" t="n">
        <v>2</v>
      </c>
      <c r="C12" s="7" t="s">
        <v>63</v>
      </c>
      <c r="D12" s="13" t="s">
        <v>64</v>
      </c>
      <c r="E12" s="6"/>
      <c r="F12" s="7" t="s">
        <v>65</v>
      </c>
      <c r="G12" s="17" t="str">
        <f aca="false">IF(ABS(G11-Template!K50)&lt;0.01,"OK","MISMATCH")</f>
        <v>OK</v>
      </c>
      <c r="H12" s="17" t="str">
        <f aca="false">IF(ABS(H11-Template!O50)&lt;0.01,"OK","MISMATCH")</f>
        <v>OK</v>
      </c>
      <c r="I12" s="17" t="str">
        <f aca="false">IF(ABS(I11-Template!S50)&lt;0.01,"OK","MISMATCH")</f>
        <v>OK</v>
      </c>
    </row>
    <row r="13" customFormat="false" ht="15" hidden="false" customHeight="false" outlineLevel="0" collapsed="false">
      <c r="A13" s="11" t="s">
        <v>66</v>
      </c>
      <c r="B13" s="12" t="n">
        <v>0</v>
      </c>
      <c r="C13" s="7" t="s">
        <v>67</v>
      </c>
      <c r="D13" s="13" t="s">
        <v>68</v>
      </c>
      <c r="E13" s="6"/>
      <c r="F13" s="6"/>
      <c r="G13" s="6"/>
      <c r="H13" s="6"/>
      <c r="I13" s="6"/>
    </row>
    <row r="14" customFormat="false" ht="15" hidden="false" customHeight="false" outlineLevel="0" collapsed="false">
      <c r="A14" s="11" t="s">
        <v>69</v>
      </c>
      <c r="B14" s="12" t="n">
        <v>180</v>
      </c>
      <c r="C14" s="7" t="s">
        <v>70</v>
      </c>
      <c r="D14" s="13" t="s">
        <v>71</v>
      </c>
      <c r="E14" s="6"/>
      <c r="F14" s="15" t="s">
        <v>72</v>
      </c>
      <c r="G14" s="6"/>
      <c r="H14" s="6"/>
      <c r="I14" s="6"/>
    </row>
    <row r="15" customFormat="false" ht="15" hidden="false" customHeight="false" outlineLevel="0" collapsed="false">
      <c r="A15" s="11" t="s">
        <v>73</v>
      </c>
      <c r="B15" s="12" t="n">
        <v>2</v>
      </c>
      <c r="C15" s="7" t="s">
        <v>74</v>
      </c>
      <c r="D15" s="13" t="s">
        <v>75</v>
      </c>
      <c r="E15" s="6"/>
      <c r="F15" s="11" t="s">
        <v>76</v>
      </c>
      <c r="G15" s="14" t="n">
        <f aca="false">ROUND(G11*(1-RangePct),-2)</f>
        <v>36300</v>
      </c>
      <c r="H15" s="14" t="n">
        <f aca="false">ROUND(H11*(1-RangePct),-2)</f>
        <v>48600</v>
      </c>
      <c r="I15" s="14" t="n">
        <f aca="false">ROUND(I11*(1-RangePct),-2)</f>
        <v>67100</v>
      </c>
    </row>
    <row r="16" customFormat="false" ht="15" hidden="false" customHeight="false" outlineLevel="0" collapsed="false">
      <c r="A16" s="11" t="s">
        <v>77</v>
      </c>
      <c r="B16" s="12" t="n">
        <v>6</v>
      </c>
      <c r="C16" s="7" t="s">
        <v>78</v>
      </c>
      <c r="D16" s="13" t="s">
        <v>79</v>
      </c>
      <c r="E16" s="6"/>
      <c r="F16" s="11" t="s">
        <v>80</v>
      </c>
      <c r="G16" s="14" t="n">
        <f aca="false">ROUND(G11*(1+RangePct),-2)</f>
        <v>54400</v>
      </c>
      <c r="H16" s="14" t="n">
        <f aca="false">ROUND(H11*(1+RangePct),-2)</f>
        <v>73000</v>
      </c>
      <c r="I16" s="14" t="n">
        <f aca="false">ROUND(I11*(1+RangePct),-2)</f>
        <v>100700</v>
      </c>
    </row>
    <row r="17" customFormat="false" ht="15" hidden="false" customHeight="false" outlineLevel="0" collapsed="false">
      <c r="A17" s="11" t="s">
        <v>81</v>
      </c>
      <c r="B17" s="12" t="n">
        <v>3</v>
      </c>
      <c r="C17" s="7" t="s">
        <v>82</v>
      </c>
      <c r="D17" s="13" t="s">
        <v>83</v>
      </c>
      <c r="E17" s="6"/>
      <c r="F17" s="6"/>
      <c r="G17" s="6"/>
      <c r="H17" s="6"/>
      <c r="I17" s="6"/>
    </row>
    <row r="18" customFormat="false" ht="15" hidden="false" customHeight="false" outlineLevel="0" collapsed="false">
      <c r="A18" s="11" t="s">
        <v>84</v>
      </c>
      <c r="B18" s="12" t="n">
        <v>1</v>
      </c>
      <c r="C18" s="7" t="s">
        <v>85</v>
      </c>
      <c r="D18" s="13" t="s">
        <v>86</v>
      </c>
      <c r="E18" s="6"/>
      <c r="F18" s="7" t="s">
        <v>87</v>
      </c>
      <c r="G18" s="6"/>
      <c r="H18" s="6"/>
      <c r="I18" s="6"/>
    </row>
    <row r="19" customFormat="false" ht="15" hidden="false" customHeight="false" outlineLevel="0" collapsed="false">
      <c r="A19" s="11" t="s">
        <v>88</v>
      </c>
      <c r="B19" s="12" t="n">
        <v>0</v>
      </c>
      <c r="C19" s="7" t="s">
        <v>89</v>
      </c>
      <c r="D19" s="13" t="s">
        <v>90</v>
      </c>
      <c r="E19" s="6"/>
      <c r="F19" s="7" t="s">
        <v>91</v>
      </c>
      <c r="G19" s="6"/>
      <c r="H19" s="6"/>
      <c r="I19" s="6"/>
    </row>
    <row r="20" customFormat="false" ht="15" hidden="false" customHeight="false" outlineLevel="0" collapsed="false">
      <c r="A20" s="11" t="s">
        <v>92</v>
      </c>
      <c r="B20" s="12" t="n">
        <v>0</v>
      </c>
      <c r="C20" s="7" t="s">
        <v>93</v>
      </c>
      <c r="D20" s="13" t="s">
        <v>94</v>
      </c>
      <c r="E20" s="6"/>
      <c r="F20" s="6"/>
      <c r="G20" s="6"/>
      <c r="H20" s="6"/>
      <c r="I20" s="6"/>
    </row>
    <row r="21" customFormat="false" ht="15" hidden="false" customHeight="false" outlineLevel="0" collapsed="false">
      <c r="A21" s="11" t="s">
        <v>95</v>
      </c>
      <c r="B21" s="12" t="n">
        <v>0</v>
      </c>
      <c r="C21" s="7" t="s">
        <v>96</v>
      </c>
      <c r="D21" s="13" t="s">
        <v>97</v>
      </c>
      <c r="E21" s="6"/>
      <c r="F21" s="6"/>
      <c r="G21" s="6"/>
      <c r="H21" s="6"/>
      <c r="I21" s="6"/>
    </row>
    <row r="22" customFormat="false" ht="15" hidden="false" customHeight="false" outlineLevel="0" collapsed="false">
      <c r="A22" s="11" t="s">
        <v>98</v>
      </c>
      <c r="B22" s="12" t="n">
        <v>0</v>
      </c>
      <c r="C22" s="7" t="s">
        <v>99</v>
      </c>
      <c r="D22" s="13" t="s">
        <v>100</v>
      </c>
      <c r="E22" s="6"/>
      <c r="F22" s="6"/>
      <c r="G22" s="6"/>
      <c r="H22" s="6"/>
      <c r="I22" s="6"/>
    </row>
    <row r="23" customFormat="false" ht="15" hidden="false" customHeight="false" outlineLevel="0" collapsed="false">
      <c r="A23" s="11" t="s">
        <v>101</v>
      </c>
      <c r="B23" s="12" t="n">
        <v>0</v>
      </c>
      <c r="C23" s="7" t="s">
        <v>102</v>
      </c>
      <c r="D23" s="13" t="s">
        <v>103</v>
      </c>
      <c r="E23" s="6"/>
      <c r="F23" s="6"/>
      <c r="G23" s="6"/>
      <c r="H23" s="6"/>
      <c r="I23" s="6"/>
    </row>
    <row r="24" customFormat="false" ht="15" hidden="false" customHeight="false" outlineLevel="0" collapsed="false">
      <c r="A24" s="11" t="s">
        <v>104</v>
      </c>
      <c r="B24" s="12" t="n">
        <v>1</v>
      </c>
      <c r="C24" s="7" t="s">
        <v>105</v>
      </c>
      <c r="D24" s="13" t="s">
        <v>106</v>
      </c>
      <c r="E24" s="6"/>
      <c r="F24" s="6"/>
      <c r="G24" s="6"/>
      <c r="H24" s="6"/>
      <c r="I24" s="6"/>
    </row>
    <row r="25" customFormat="false" ht="15" hidden="false" customHeight="false" outlineLevel="0" collapsed="false">
      <c r="A25" s="11" t="s">
        <v>107</v>
      </c>
      <c r="B25" s="12" t="n">
        <v>0</v>
      </c>
      <c r="C25" s="7" t="s">
        <v>108</v>
      </c>
      <c r="D25" s="13" t="s">
        <v>109</v>
      </c>
      <c r="E25" s="6"/>
      <c r="F25" s="6"/>
      <c r="G25" s="6"/>
      <c r="H25" s="6"/>
      <c r="I25" s="6"/>
    </row>
    <row r="26" customFormat="false" ht="15" hidden="false" customHeight="false" outlineLevel="0" collapsed="false">
      <c r="A26" s="11" t="s">
        <v>110</v>
      </c>
      <c r="B26" s="12" t="n">
        <v>8</v>
      </c>
      <c r="C26" s="7" t="s">
        <v>111</v>
      </c>
      <c r="D26" s="13" t="s">
        <v>112</v>
      </c>
      <c r="E26" s="6"/>
      <c r="F26" s="6"/>
      <c r="G26" s="6"/>
      <c r="H26" s="6"/>
      <c r="I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56"/>
    <col collapsed="false" customWidth="true" hidden="false" outlineLevel="0" max="7" min="7" style="0" width="8"/>
    <col collapsed="false" customWidth="true" hidden="false" outlineLevel="0" max="19" min="8" style="0" width="11"/>
    <col collapsed="false" customWidth="true" hidden="false" outlineLevel="0" max="21" min="21" style="0" width="70"/>
  </cols>
  <sheetData>
    <row r="1" customFormat="false" ht="17.35" hidden="false" customHeight="false" outlineLevel="0" collapsed="false">
      <c r="A1" s="5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customFormat="false" ht="15" hidden="false" customHeight="false" outlineLevel="0" collapsed="false">
      <c r="A2" s="7" t="s">
        <v>114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23.85" hidden="false" customHeight="false" outlineLevel="0" collapsed="false">
      <c r="A4" s="8" t="s">
        <v>115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  <c r="H4" s="8" t="s">
        <v>122</v>
      </c>
      <c r="I4" s="8" t="s">
        <v>123</v>
      </c>
      <c r="J4" s="8" t="s">
        <v>124</v>
      </c>
      <c r="K4" s="8" t="s">
        <v>125</v>
      </c>
      <c r="L4" s="8" t="s">
        <v>126</v>
      </c>
      <c r="M4" s="8" t="s">
        <v>127</v>
      </c>
      <c r="N4" s="8" t="s">
        <v>128</v>
      </c>
      <c r="O4" s="8" t="s">
        <v>129</v>
      </c>
      <c r="P4" s="8" t="s">
        <v>130</v>
      </c>
      <c r="Q4" s="8" t="s">
        <v>131</v>
      </c>
      <c r="R4" s="8" t="s">
        <v>132</v>
      </c>
      <c r="S4" s="8" t="s">
        <v>133</v>
      </c>
      <c r="T4" s="8" t="s">
        <v>134</v>
      </c>
      <c r="U4" s="8" t="s">
        <v>135</v>
      </c>
    </row>
    <row r="5" customFormat="false" ht="15" hidden="false" customHeight="false" outlineLevel="0" collapsed="false">
      <c r="A5" s="18" t="n">
        <v>1</v>
      </c>
      <c r="B5" s="18" t="s">
        <v>136</v>
      </c>
      <c r="C5" s="18" t="s">
        <v>137</v>
      </c>
      <c r="D5" s="18" t="s">
        <v>138</v>
      </c>
      <c r="E5" s="18" t="s">
        <v>139</v>
      </c>
      <c r="F5" s="19" t="s">
        <v>140</v>
      </c>
      <c r="G5" s="20" t="n">
        <f aca="false">1</f>
        <v>1</v>
      </c>
      <c r="H5" s="21" t="n">
        <v>190</v>
      </c>
      <c r="I5" s="22" t="s">
        <v>141</v>
      </c>
      <c r="J5" s="23" t="n">
        <f aca="false">H5*INDEX(MarkupVals,MATCH(I5,MarkupCodes,0))</f>
        <v>275.5</v>
      </c>
      <c r="K5" s="24" t="n">
        <f aca="false">G5*J5</f>
        <v>275.5</v>
      </c>
      <c r="L5" s="21" t="n">
        <v>190</v>
      </c>
      <c r="M5" s="22" t="s">
        <v>141</v>
      </c>
      <c r="N5" s="23" t="n">
        <f aca="false">L5*INDEX(MarkupVals,MATCH(M5,MarkupCodes,0))</f>
        <v>275.5</v>
      </c>
      <c r="O5" s="24" t="n">
        <f aca="false">G5*N5</f>
        <v>275.5</v>
      </c>
      <c r="P5" s="21" t="n">
        <v>190</v>
      </c>
      <c r="Q5" s="22" t="s">
        <v>141</v>
      </c>
      <c r="R5" s="23" t="n">
        <f aca="false">P5*INDEX(MarkupVals,MATCH(Q5,MarkupCodes,0))</f>
        <v>275.5</v>
      </c>
      <c r="S5" s="24" t="n">
        <f aca="false">G5*R5</f>
        <v>275.5</v>
      </c>
      <c r="T5" s="25"/>
      <c r="U5" s="26" t="s">
        <v>142</v>
      </c>
    </row>
    <row r="6" customFormat="false" ht="15" hidden="false" customHeight="false" outlineLevel="0" collapsed="false">
      <c r="A6" s="18" t="n">
        <v>2</v>
      </c>
      <c r="B6" s="18" t="s">
        <v>143</v>
      </c>
      <c r="C6" s="18" t="s">
        <v>144</v>
      </c>
      <c r="D6" s="18" t="s">
        <v>145</v>
      </c>
      <c r="E6" s="18" t="s">
        <v>146</v>
      </c>
      <c r="F6" s="19" t="s">
        <v>147</v>
      </c>
      <c r="G6" s="20" t="n">
        <f aca="false">4 + 4*p_Kitchen_Full_Gut</f>
        <v>8</v>
      </c>
      <c r="H6" s="23" t="n">
        <f aca="false">LaborCost</f>
        <v>55</v>
      </c>
      <c r="I6" s="22" t="s">
        <v>148</v>
      </c>
      <c r="J6" s="23" t="n">
        <f aca="false">H6*INDEX(MarkupVals,MATCH(I6,MarkupCodes,0))</f>
        <v>100</v>
      </c>
      <c r="K6" s="24" t="n">
        <f aca="false">G6*J6</f>
        <v>800</v>
      </c>
      <c r="L6" s="23" t="n">
        <f aca="false">LaborCost</f>
        <v>55</v>
      </c>
      <c r="M6" s="22" t="s">
        <v>148</v>
      </c>
      <c r="N6" s="23" t="n">
        <f aca="false">L6*INDEX(MarkupVals,MATCH(M6,MarkupCodes,0))</f>
        <v>100</v>
      </c>
      <c r="O6" s="24" t="n">
        <f aca="false">G6*N6</f>
        <v>800</v>
      </c>
      <c r="P6" s="23" t="n">
        <f aca="false">LaborCost</f>
        <v>55</v>
      </c>
      <c r="Q6" s="22" t="s">
        <v>148</v>
      </c>
      <c r="R6" s="23" t="n">
        <f aca="false">P6*INDEX(MarkupVals,MATCH(Q6,MarkupCodes,0))</f>
        <v>100</v>
      </c>
      <c r="S6" s="24" t="n">
        <f aca="false">G6*R6</f>
        <v>800</v>
      </c>
      <c r="T6" s="25"/>
      <c r="U6" s="26"/>
    </row>
    <row r="7" customFormat="false" ht="15" hidden="false" customHeight="false" outlineLevel="0" collapsed="false">
      <c r="A7" s="18" t="n">
        <v>3</v>
      </c>
      <c r="B7" s="18" t="s">
        <v>149</v>
      </c>
      <c r="C7" s="18" t="s">
        <v>150</v>
      </c>
      <c r="D7" s="18" t="s">
        <v>151</v>
      </c>
      <c r="E7" s="18" t="s">
        <v>152</v>
      </c>
      <c r="F7" s="19" t="s">
        <v>140</v>
      </c>
      <c r="G7" s="20" t="n">
        <f aca="false">1</f>
        <v>1</v>
      </c>
      <c r="H7" s="21" t="n">
        <v>150</v>
      </c>
      <c r="I7" s="22" t="s">
        <v>153</v>
      </c>
      <c r="J7" s="23" t="n">
        <f aca="false">H7*INDEX(MarkupVals,MATCH(I7,MarkupCodes,0))</f>
        <v>217.5</v>
      </c>
      <c r="K7" s="24" t="n">
        <f aca="false">G7*J7</f>
        <v>217.5</v>
      </c>
      <c r="L7" s="21" t="n">
        <v>150</v>
      </c>
      <c r="M7" s="22" t="s">
        <v>153</v>
      </c>
      <c r="N7" s="23" t="n">
        <f aca="false">L7*INDEX(MarkupVals,MATCH(M7,MarkupCodes,0))</f>
        <v>217.5</v>
      </c>
      <c r="O7" s="24" t="n">
        <f aca="false">G7*N7</f>
        <v>217.5</v>
      </c>
      <c r="P7" s="21" t="n">
        <v>150</v>
      </c>
      <c r="Q7" s="22" t="s">
        <v>153</v>
      </c>
      <c r="R7" s="23" t="n">
        <f aca="false">P7*INDEX(MarkupVals,MATCH(Q7,MarkupCodes,0))</f>
        <v>217.5</v>
      </c>
      <c r="S7" s="24" t="n">
        <f aca="false">G7*R7</f>
        <v>217.5</v>
      </c>
      <c r="T7" s="25"/>
      <c r="U7" s="26"/>
    </row>
    <row r="8" customFormat="false" ht="15" hidden="false" customHeight="false" outlineLevel="0" collapsed="false">
      <c r="A8" s="18" t="n">
        <v>4</v>
      </c>
      <c r="B8" s="18" t="s">
        <v>149</v>
      </c>
      <c r="C8" s="18" t="s">
        <v>154</v>
      </c>
      <c r="D8" s="18" t="s">
        <v>155</v>
      </c>
      <c r="E8" s="18" t="s">
        <v>146</v>
      </c>
      <c r="F8" s="19" t="s">
        <v>156</v>
      </c>
      <c r="G8" s="20" t="n">
        <f aca="false">2</f>
        <v>2</v>
      </c>
      <c r="H8" s="23" t="n">
        <f aca="false">LaborCost</f>
        <v>55</v>
      </c>
      <c r="I8" s="22" t="s">
        <v>148</v>
      </c>
      <c r="J8" s="23" t="n">
        <f aca="false">H8*INDEX(MarkupVals,MATCH(I8,MarkupCodes,0))</f>
        <v>100</v>
      </c>
      <c r="K8" s="24" t="n">
        <f aca="false">G8*J8</f>
        <v>200</v>
      </c>
      <c r="L8" s="23" t="n">
        <f aca="false">LaborCost</f>
        <v>55</v>
      </c>
      <c r="M8" s="22" t="s">
        <v>148</v>
      </c>
      <c r="N8" s="23" t="n">
        <f aca="false">L8*INDEX(MarkupVals,MATCH(M8,MarkupCodes,0))</f>
        <v>100</v>
      </c>
      <c r="O8" s="24" t="n">
        <f aca="false">G8*N8</f>
        <v>200</v>
      </c>
      <c r="P8" s="23" t="n">
        <f aca="false">LaborCost</f>
        <v>55</v>
      </c>
      <c r="Q8" s="22" t="s">
        <v>148</v>
      </c>
      <c r="R8" s="23" t="n">
        <f aca="false">P8*INDEX(MarkupVals,MATCH(Q8,MarkupCodes,0))</f>
        <v>100</v>
      </c>
      <c r="S8" s="24" t="n">
        <f aca="false">G8*R8</f>
        <v>200</v>
      </c>
      <c r="T8" s="25"/>
      <c r="U8" s="26"/>
    </row>
    <row r="9" customFormat="false" ht="15" hidden="false" customHeight="false" outlineLevel="0" collapsed="false">
      <c r="A9" s="18" t="n">
        <v>5</v>
      </c>
      <c r="B9" s="18" t="s">
        <v>157</v>
      </c>
      <c r="C9" s="18" t="s">
        <v>158</v>
      </c>
      <c r="D9" s="18" t="s">
        <v>158</v>
      </c>
      <c r="E9" s="18" t="s">
        <v>146</v>
      </c>
      <c r="F9" s="19" t="s">
        <v>159</v>
      </c>
      <c r="G9" s="20" t="n">
        <f aca="false">8 + p_Kitchen_Full_Gut*ROUNDUP(p_Kitchen_Floor_Area/15,0) + 6*p_Kitchen_Walls_Moved</f>
        <v>20</v>
      </c>
      <c r="H9" s="23" t="n">
        <f aca="false">LaborCost</f>
        <v>55</v>
      </c>
      <c r="I9" s="22" t="s">
        <v>148</v>
      </c>
      <c r="J9" s="23" t="n">
        <f aca="false">H9*INDEX(MarkupVals,MATCH(I9,MarkupCodes,0))</f>
        <v>100</v>
      </c>
      <c r="K9" s="24" t="n">
        <f aca="false">G9*J9</f>
        <v>2000</v>
      </c>
      <c r="L9" s="23" t="n">
        <f aca="false">LaborCost</f>
        <v>55</v>
      </c>
      <c r="M9" s="22" t="s">
        <v>148</v>
      </c>
      <c r="N9" s="23" t="n">
        <f aca="false">L9*INDEX(MarkupVals,MATCH(M9,MarkupCodes,0))</f>
        <v>100</v>
      </c>
      <c r="O9" s="24" t="n">
        <f aca="false">G9*N9</f>
        <v>2000</v>
      </c>
      <c r="P9" s="23" t="n">
        <f aca="false">LaborCost</f>
        <v>55</v>
      </c>
      <c r="Q9" s="22" t="s">
        <v>148</v>
      </c>
      <c r="R9" s="23" t="n">
        <f aca="false">P9*INDEX(MarkupVals,MATCH(Q9,MarkupCodes,0))</f>
        <v>100</v>
      </c>
      <c r="S9" s="24" t="n">
        <f aca="false">G9*R9</f>
        <v>2000</v>
      </c>
      <c r="T9" s="25"/>
      <c r="U9" s="26" t="s">
        <v>160</v>
      </c>
    </row>
    <row r="10" customFormat="false" ht="15" hidden="false" customHeight="false" outlineLevel="0" collapsed="false">
      <c r="A10" s="18" t="n">
        <v>6</v>
      </c>
      <c r="B10" s="18" t="s">
        <v>161</v>
      </c>
      <c r="C10" s="18" t="s">
        <v>162</v>
      </c>
      <c r="D10" s="18" t="s">
        <v>163</v>
      </c>
      <c r="E10" s="18" t="s">
        <v>152</v>
      </c>
      <c r="F10" s="19" t="s">
        <v>106</v>
      </c>
      <c r="G10" s="20" t="n">
        <f aca="false">p_Kitchen_Dumpster_Loads</f>
        <v>1</v>
      </c>
      <c r="H10" s="21" t="n">
        <v>250</v>
      </c>
      <c r="I10" s="22" t="s">
        <v>148</v>
      </c>
      <c r="J10" s="21" t="n">
        <v>450</v>
      </c>
      <c r="K10" s="24" t="n">
        <f aca="false">G10*J10</f>
        <v>450</v>
      </c>
      <c r="L10" s="21" t="n">
        <v>250</v>
      </c>
      <c r="M10" s="22" t="s">
        <v>148</v>
      </c>
      <c r="N10" s="21" t="n">
        <v>450</v>
      </c>
      <c r="O10" s="24" t="n">
        <f aca="false">G10*N10</f>
        <v>450</v>
      </c>
      <c r="P10" s="21" t="n">
        <v>250</v>
      </c>
      <c r="Q10" s="22" t="s">
        <v>148</v>
      </c>
      <c r="R10" s="21" t="n">
        <v>450</v>
      </c>
      <c r="S10" s="24" t="n">
        <f aca="false">G10*R10</f>
        <v>450</v>
      </c>
      <c r="T10" s="25"/>
      <c r="U10" s="26" t="s">
        <v>164</v>
      </c>
    </row>
    <row r="11" customFormat="false" ht="15" hidden="false" customHeight="false" outlineLevel="0" collapsed="false">
      <c r="A11" s="18" t="n">
        <v>7</v>
      </c>
      <c r="B11" s="18" t="s">
        <v>161</v>
      </c>
      <c r="C11" s="18" t="s">
        <v>165</v>
      </c>
      <c r="D11" s="18" t="s">
        <v>155</v>
      </c>
      <c r="E11" s="18" t="s">
        <v>146</v>
      </c>
      <c r="F11" s="19" t="s">
        <v>166</v>
      </c>
      <c r="G11" s="20" t="n">
        <f aca="false">2 + 2*p_Kitchen_Full_Gut</f>
        <v>4</v>
      </c>
      <c r="H11" s="23" t="n">
        <f aca="false">LaborCost</f>
        <v>55</v>
      </c>
      <c r="I11" s="22" t="s">
        <v>148</v>
      </c>
      <c r="J11" s="23" t="n">
        <f aca="false">H11*INDEX(MarkupVals,MATCH(I11,MarkupCodes,0))</f>
        <v>100</v>
      </c>
      <c r="K11" s="24" t="n">
        <f aca="false">G11*J11</f>
        <v>400</v>
      </c>
      <c r="L11" s="23" t="n">
        <f aca="false">LaborCost</f>
        <v>55</v>
      </c>
      <c r="M11" s="22" t="s">
        <v>148</v>
      </c>
      <c r="N11" s="23" t="n">
        <f aca="false">L11*INDEX(MarkupVals,MATCH(M11,MarkupCodes,0))</f>
        <v>100</v>
      </c>
      <c r="O11" s="24" t="n">
        <f aca="false">G11*N11</f>
        <v>400</v>
      </c>
      <c r="P11" s="23" t="n">
        <f aca="false">LaborCost</f>
        <v>55</v>
      </c>
      <c r="Q11" s="22" t="s">
        <v>148</v>
      </c>
      <c r="R11" s="23" t="n">
        <f aca="false">P11*INDEX(MarkupVals,MATCH(Q11,MarkupCodes,0))</f>
        <v>100</v>
      </c>
      <c r="S11" s="24" t="n">
        <f aca="false">G11*R11</f>
        <v>400</v>
      </c>
      <c r="T11" s="25"/>
      <c r="U11" s="26"/>
    </row>
    <row r="12" customFormat="false" ht="15" hidden="false" customHeight="false" outlineLevel="0" collapsed="false">
      <c r="A12" s="18" t="n">
        <v>8</v>
      </c>
      <c r="B12" s="18" t="s">
        <v>167</v>
      </c>
      <c r="C12" s="18" t="s">
        <v>168</v>
      </c>
      <c r="D12" s="18" t="s">
        <v>169</v>
      </c>
      <c r="E12" s="18" t="s">
        <v>146</v>
      </c>
      <c r="F12" s="19" t="s">
        <v>109</v>
      </c>
      <c r="G12" s="20" t="n">
        <f aca="false">p_Kitchen_Travel_Hours</f>
        <v>0</v>
      </c>
      <c r="H12" s="23" t="n">
        <f aca="false">LaborCost</f>
        <v>55</v>
      </c>
      <c r="I12" s="22" t="s">
        <v>148</v>
      </c>
      <c r="J12" s="23" t="n">
        <f aca="false">H12*INDEX(MarkupVals,MATCH(I12,MarkupCodes,0))</f>
        <v>100</v>
      </c>
      <c r="K12" s="24" t="n">
        <f aca="false">G12*J12</f>
        <v>0</v>
      </c>
      <c r="L12" s="23" t="n">
        <f aca="false">LaborCost</f>
        <v>55</v>
      </c>
      <c r="M12" s="22" t="s">
        <v>148</v>
      </c>
      <c r="N12" s="23" t="n">
        <f aca="false">L12*INDEX(MarkupVals,MATCH(M12,MarkupCodes,0))</f>
        <v>100</v>
      </c>
      <c r="O12" s="24" t="n">
        <f aca="false">G12*N12</f>
        <v>0</v>
      </c>
      <c r="P12" s="23" t="n">
        <f aca="false">LaborCost</f>
        <v>55</v>
      </c>
      <c r="Q12" s="22" t="s">
        <v>148</v>
      </c>
      <c r="R12" s="23" t="n">
        <f aca="false">P12*INDEX(MarkupVals,MATCH(Q12,MarkupCodes,0))</f>
        <v>100</v>
      </c>
      <c r="S12" s="24" t="n">
        <f aca="false">G12*R12</f>
        <v>0</v>
      </c>
      <c r="T12" s="25"/>
      <c r="U12" s="26"/>
    </row>
    <row r="13" customFormat="false" ht="15" hidden="false" customHeight="false" outlineLevel="0" collapsed="false">
      <c r="A13" s="18" t="n">
        <v>9</v>
      </c>
      <c r="B13" s="18" t="s">
        <v>170</v>
      </c>
      <c r="C13" s="18" t="s">
        <v>171</v>
      </c>
      <c r="D13" s="18" t="s">
        <v>172</v>
      </c>
      <c r="E13" s="18" t="s">
        <v>139</v>
      </c>
      <c r="F13" s="19" t="s">
        <v>173</v>
      </c>
      <c r="G13" s="20" t="n">
        <f aca="false">p_Kitchen_Full_Gut + 3*p_Kitchen_Walls_Moved + ROUNDUP(p_Kitchen_Subfloor_Repair_Area/32,0)</f>
        <v>1</v>
      </c>
      <c r="H13" s="21" t="n">
        <v>150</v>
      </c>
      <c r="I13" s="22" t="s">
        <v>153</v>
      </c>
      <c r="J13" s="23" t="n">
        <f aca="false">H13*INDEX(MarkupVals,MATCH(I13,MarkupCodes,0))</f>
        <v>217.5</v>
      </c>
      <c r="K13" s="24" t="n">
        <f aca="false">G13*J13</f>
        <v>217.5</v>
      </c>
      <c r="L13" s="21" t="n">
        <v>150</v>
      </c>
      <c r="M13" s="22" t="s">
        <v>153</v>
      </c>
      <c r="N13" s="23" t="n">
        <f aca="false">L13*INDEX(MarkupVals,MATCH(M13,MarkupCodes,0))</f>
        <v>217.5</v>
      </c>
      <c r="O13" s="24" t="n">
        <f aca="false">G13*N13</f>
        <v>217.5</v>
      </c>
      <c r="P13" s="21" t="n">
        <v>150</v>
      </c>
      <c r="Q13" s="22" t="s">
        <v>153</v>
      </c>
      <c r="R13" s="23" t="n">
        <f aca="false">P13*INDEX(MarkupVals,MATCH(Q13,MarkupCodes,0))</f>
        <v>217.5</v>
      </c>
      <c r="S13" s="24" t="n">
        <f aca="false">G13*R13</f>
        <v>217.5</v>
      </c>
      <c r="T13" s="25"/>
      <c r="U13" s="26"/>
    </row>
    <row r="14" customFormat="false" ht="15" hidden="false" customHeight="false" outlineLevel="0" collapsed="false">
      <c r="A14" s="18" t="n">
        <v>10</v>
      </c>
      <c r="B14" s="18" t="s">
        <v>170</v>
      </c>
      <c r="C14" s="18" t="s">
        <v>174</v>
      </c>
      <c r="D14" s="18" t="s">
        <v>175</v>
      </c>
      <c r="E14" s="18" t="s">
        <v>146</v>
      </c>
      <c r="F14" s="19" t="s">
        <v>176</v>
      </c>
      <c r="G14" s="20" t="n">
        <f aca="false">4*p_Kitchen_Full_Gut + 8*p_Kitchen_Walls_Moved + ROUNDUP(p_Kitchen_Subfloor_Repair_Area/8,0)</f>
        <v>4</v>
      </c>
      <c r="H14" s="23" t="n">
        <f aca="false">LaborCost</f>
        <v>55</v>
      </c>
      <c r="I14" s="22" t="s">
        <v>148</v>
      </c>
      <c r="J14" s="23" t="n">
        <f aca="false">H14*INDEX(MarkupVals,MATCH(I14,MarkupCodes,0))</f>
        <v>100</v>
      </c>
      <c r="K14" s="24" t="n">
        <f aca="false">G14*J14</f>
        <v>400</v>
      </c>
      <c r="L14" s="23" t="n">
        <f aca="false">LaborCost</f>
        <v>55</v>
      </c>
      <c r="M14" s="22" t="s">
        <v>148</v>
      </c>
      <c r="N14" s="23" t="n">
        <f aca="false">L14*INDEX(MarkupVals,MATCH(M14,MarkupCodes,0))</f>
        <v>100</v>
      </c>
      <c r="O14" s="24" t="n">
        <f aca="false">G14*N14</f>
        <v>400</v>
      </c>
      <c r="P14" s="23" t="n">
        <f aca="false">LaborCost</f>
        <v>55</v>
      </c>
      <c r="Q14" s="22" t="s">
        <v>148</v>
      </c>
      <c r="R14" s="23" t="n">
        <f aca="false">P14*INDEX(MarkupVals,MATCH(Q14,MarkupCodes,0))</f>
        <v>100</v>
      </c>
      <c r="S14" s="24" t="n">
        <f aca="false">G14*R14</f>
        <v>400</v>
      </c>
      <c r="T14" s="25"/>
      <c r="U14" s="26"/>
    </row>
    <row r="15" customFormat="false" ht="15" hidden="false" customHeight="false" outlineLevel="0" collapsed="false">
      <c r="A15" s="18" t="n">
        <v>11</v>
      </c>
      <c r="B15" s="18" t="s">
        <v>177</v>
      </c>
      <c r="C15" s="18" t="s">
        <v>178</v>
      </c>
      <c r="D15" s="18" t="s">
        <v>179</v>
      </c>
      <c r="E15" s="18" t="s">
        <v>139</v>
      </c>
      <c r="F15" s="19" t="s">
        <v>180</v>
      </c>
      <c r="G15" s="20" t="n">
        <f aca="false">1 + p_Kitchen_Fixtures_Replaced + 5*p_Kitchen_Fixtures_Relocated</f>
        <v>3</v>
      </c>
      <c r="H15" s="21" t="n">
        <v>100</v>
      </c>
      <c r="I15" s="22" t="s">
        <v>153</v>
      </c>
      <c r="J15" s="23" t="n">
        <f aca="false">H15*INDEX(MarkupVals,MATCH(I15,MarkupCodes,0))</f>
        <v>145</v>
      </c>
      <c r="K15" s="24" t="n">
        <f aca="false">G15*J15</f>
        <v>435</v>
      </c>
      <c r="L15" s="21" t="n">
        <v>100</v>
      </c>
      <c r="M15" s="22" t="s">
        <v>153</v>
      </c>
      <c r="N15" s="23" t="n">
        <f aca="false">L15*INDEX(MarkupVals,MATCH(M15,MarkupCodes,0))</f>
        <v>145</v>
      </c>
      <c r="O15" s="24" t="n">
        <f aca="false">G15*N15</f>
        <v>435</v>
      </c>
      <c r="P15" s="21" t="n">
        <v>100</v>
      </c>
      <c r="Q15" s="22" t="s">
        <v>153</v>
      </c>
      <c r="R15" s="23" t="n">
        <f aca="false">P15*INDEX(MarkupVals,MATCH(Q15,MarkupCodes,0))</f>
        <v>145</v>
      </c>
      <c r="S15" s="24" t="n">
        <f aca="false">G15*R15</f>
        <v>435</v>
      </c>
      <c r="T15" s="25"/>
      <c r="U15" s="26" t="s">
        <v>181</v>
      </c>
    </row>
    <row r="16" customFormat="false" ht="15" hidden="false" customHeight="false" outlineLevel="0" collapsed="false">
      <c r="A16" s="18" t="n">
        <v>12</v>
      </c>
      <c r="B16" s="18" t="s">
        <v>177</v>
      </c>
      <c r="C16" s="18" t="s">
        <v>182</v>
      </c>
      <c r="D16" s="18" t="s">
        <v>179</v>
      </c>
      <c r="E16" s="18" t="s">
        <v>146</v>
      </c>
      <c r="F16" s="19" t="s">
        <v>183</v>
      </c>
      <c r="G16" s="20" t="n">
        <f aca="false">3 + ROUND(2.5*p_Kitchen_Fixtures_Replaced,0) + 4*p_Kitchen_Fixtures_Relocated</f>
        <v>8</v>
      </c>
      <c r="H16" s="23" t="n">
        <f aca="false">LaborCost</f>
        <v>55</v>
      </c>
      <c r="I16" s="22" t="s">
        <v>148</v>
      </c>
      <c r="J16" s="23" t="n">
        <f aca="false">H16*INDEX(MarkupVals,MATCH(I16,MarkupCodes,0))</f>
        <v>100</v>
      </c>
      <c r="K16" s="24" t="n">
        <f aca="false">G16*J16</f>
        <v>800</v>
      </c>
      <c r="L16" s="23" t="n">
        <f aca="false">LaborCost</f>
        <v>55</v>
      </c>
      <c r="M16" s="22" t="s">
        <v>148</v>
      </c>
      <c r="N16" s="23" t="n">
        <f aca="false">L16*INDEX(MarkupVals,MATCH(M16,MarkupCodes,0))</f>
        <v>100</v>
      </c>
      <c r="O16" s="24" t="n">
        <f aca="false">G16*N16</f>
        <v>800</v>
      </c>
      <c r="P16" s="23" t="n">
        <f aca="false">LaborCost</f>
        <v>55</v>
      </c>
      <c r="Q16" s="22" t="s">
        <v>148</v>
      </c>
      <c r="R16" s="23" t="n">
        <f aca="false">P16*INDEX(MarkupVals,MATCH(Q16,MarkupCodes,0))</f>
        <v>100</v>
      </c>
      <c r="S16" s="24" t="n">
        <f aca="false">G16*R16</f>
        <v>800</v>
      </c>
      <c r="T16" s="25"/>
      <c r="U16" s="26"/>
    </row>
    <row r="17" customFormat="false" ht="15" hidden="false" customHeight="false" outlineLevel="0" collapsed="false">
      <c r="A17" s="18" t="n">
        <v>13</v>
      </c>
      <c r="B17" s="18" t="s">
        <v>177</v>
      </c>
      <c r="C17" s="18" t="s">
        <v>184</v>
      </c>
      <c r="D17" s="18" t="s">
        <v>179</v>
      </c>
      <c r="E17" s="18" t="s">
        <v>139</v>
      </c>
      <c r="F17" s="19" t="s">
        <v>103</v>
      </c>
      <c r="G17" s="20" t="n">
        <f aca="false">p_Kitchen_HVAC_Work</f>
        <v>0</v>
      </c>
      <c r="H17" s="21" t="n">
        <v>100</v>
      </c>
      <c r="I17" s="22" t="s">
        <v>153</v>
      </c>
      <c r="J17" s="23" t="n">
        <f aca="false">H17*INDEX(MarkupVals,MATCH(I17,MarkupCodes,0))</f>
        <v>145</v>
      </c>
      <c r="K17" s="24" t="n">
        <f aca="false">G17*J17</f>
        <v>0</v>
      </c>
      <c r="L17" s="21" t="n">
        <v>100</v>
      </c>
      <c r="M17" s="22" t="s">
        <v>153</v>
      </c>
      <c r="N17" s="23" t="n">
        <f aca="false">L17*INDEX(MarkupVals,MATCH(M17,MarkupCodes,0))</f>
        <v>145</v>
      </c>
      <c r="O17" s="24" t="n">
        <f aca="false">G17*N17</f>
        <v>0</v>
      </c>
      <c r="P17" s="21" t="n">
        <v>100</v>
      </c>
      <c r="Q17" s="22" t="s">
        <v>153</v>
      </c>
      <c r="R17" s="23" t="n">
        <f aca="false">P17*INDEX(MarkupVals,MATCH(Q17,MarkupCodes,0))</f>
        <v>145</v>
      </c>
      <c r="S17" s="24" t="n">
        <f aca="false">G17*R17</f>
        <v>0</v>
      </c>
      <c r="T17" s="25"/>
      <c r="U17" s="26"/>
    </row>
    <row r="18" customFormat="false" ht="15" hidden="false" customHeight="false" outlineLevel="0" collapsed="false">
      <c r="A18" s="18" t="n">
        <v>14</v>
      </c>
      <c r="B18" s="18" t="s">
        <v>177</v>
      </c>
      <c r="C18" s="18" t="s">
        <v>185</v>
      </c>
      <c r="D18" s="18" t="s">
        <v>179</v>
      </c>
      <c r="E18" s="18" t="s">
        <v>146</v>
      </c>
      <c r="F18" s="19" t="s">
        <v>186</v>
      </c>
      <c r="G18" s="20" t="n">
        <f aca="false">2*p_Kitchen_HVAC_Work</f>
        <v>0</v>
      </c>
      <c r="H18" s="23" t="n">
        <f aca="false">LaborCost</f>
        <v>55</v>
      </c>
      <c r="I18" s="22" t="s">
        <v>148</v>
      </c>
      <c r="J18" s="23" t="n">
        <f aca="false">H18*INDEX(MarkupVals,MATCH(I18,MarkupCodes,0))</f>
        <v>100</v>
      </c>
      <c r="K18" s="24" t="n">
        <f aca="false">G18*J18</f>
        <v>0</v>
      </c>
      <c r="L18" s="23" t="n">
        <f aca="false">LaborCost</f>
        <v>55</v>
      </c>
      <c r="M18" s="22" t="s">
        <v>148</v>
      </c>
      <c r="N18" s="23" t="n">
        <f aca="false">L18*INDEX(MarkupVals,MATCH(M18,MarkupCodes,0))</f>
        <v>100</v>
      </c>
      <c r="O18" s="24" t="n">
        <f aca="false">G18*N18</f>
        <v>0</v>
      </c>
      <c r="P18" s="23" t="n">
        <f aca="false">LaborCost</f>
        <v>55</v>
      </c>
      <c r="Q18" s="22" t="s">
        <v>148</v>
      </c>
      <c r="R18" s="23" t="n">
        <f aca="false">P18*INDEX(MarkupVals,MATCH(Q18,MarkupCodes,0))</f>
        <v>100</v>
      </c>
      <c r="S18" s="24" t="n">
        <f aca="false">G18*R18</f>
        <v>0</v>
      </c>
      <c r="T18" s="25"/>
      <c r="U18" s="26"/>
    </row>
    <row r="19" customFormat="false" ht="15" hidden="false" customHeight="false" outlineLevel="0" collapsed="false">
      <c r="A19" s="18" t="n">
        <v>15</v>
      </c>
      <c r="B19" s="18" t="s">
        <v>187</v>
      </c>
      <c r="C19" s="18" t="s">
        <v>188</v>
      </c>
      <c r="D19" s="18" t="s">
        <v>189</v>
      </c>
      <c r="E19" s="18" t="s">
        <v>190</v>
      </c>
      <c r="F19" s="19" t="s">
        <v>36</v>
      </c>
      <c r="G19" s="20" t="n">
        <f aca="false">p_Kitchen_Floor_Area</f>
        <v>180</v>
      </c>
      <c r="H19" s="21" t="n">
        <v>2.61</v>
      </c>
      <c r="I19" s="22" t="s">
        <v>153</v>
      </c>
      <c r="J19" s="23" t="n">
        <f aca="false">H19*INDEX(MarkupVals,MATCH(I19,MarkupCodes,0))</f>
        <v>3.7845</v>
      </c>
      <c r="K19" s="24" t="n">
        <f aca="false">G19*J19</f>
        <v>681.21</v>
      </c>
      <c r="L19" s="21" t="n">
        <v>2.61</v>
      </c>
      <c r="M19" s="22" t="s">
        <v>153</v>
      </c>
      <c r="N19" s="23" t="n">
        <f aca="false">L19*INDEX(MarkupVals,MATCH(M19,MarkupCodes,0))</f>
        <v>3.7845</v>
      </c>
      <c r="O19" s="24" t="n">
        <f aca="false">G19*N19</f>
        <v>681.21</v>
      </c>
      <c r="P19" s="21" t="n">
        <v>2.61</v>
      </c>
      <c r="Q19" s="22" t="s">
        <v>153</v>
      </c>
      <c r="R19" s="23" t="n">
        <f aca="false">P19*INDEX(MarkupVals,MATCH(Q19,MarkupCodes,0))</f>
        <v>3.7845</v>
      </c>
      <c r="S19" s="24" t="n">
        <f aca="false">G19*R19</f>
        <v>681.21</v>
      </c>
      <c r="T19" s="25"/>
      <c r="U19" s="26" t="s">
        <v>191</v>
      </c>
    </row>
    <row r="20" customFormat="false" ht="15" hidden="false" customHeight="false" outlineLevel="0" collapsed="false">
      <c r="A20" s="18" t="n">
        <v>16</v>
      </c>
      <c r="B20" s="18" t="s">
        <v>187</v>
      </c>
      <c r="C20" s="18" t="s">
        <v>192</v>
      </c>
      <c r="D20" s="18" t="s">
        <v>189</v>
      </c>
      <c r="E20" s="18" t="s">
        <v>146</v>
      </c>
      <c r="F20" s="19" t="s">
        <v>193</v>
      </c>
      <c r="G20" s="20" t="n">
        <f aca="false">4 + p_Kitchen_Light_Fixtures + p_Kitchen_Recessed_Lights + 3*p_Kitchen_Circuits_Added + 3*p_Kitchen_Under_Cabinet_Lighting</f>
        <v>24</v>
      </c>
      <c r="H20" s="23" t="n">
        <f aca="false">LaborCost</f>
        <v>55</v>
      </c>
      <c r="I20" s="22" t="s">
        <v>148</v>
      </c>
      <c r="J20" s="23" t="n">
        <f aca="false">H20*INDEX(MarkupVals,MATCH(I20,MarkupCodes,0))</f>
        <v>100</v>
      </c>
      <c r="K20" s="24" t="n">
        <f aca="false">G20*J20</f>
        <v>2400</v>
      </c>
      <c r="L20" s="23" t="n">
        <f aca="false">LaborCost</f>
        <v>55</v>
      </c>
      <c r="M20" s="22" t="s">
        <v>148</v>
      </c>
      <c r="N20" s="23" t="n">
        <f aca="false">L20*INDEX(MarkupVals,MATCH(M20,MarkupCodes,0))</f>
        <v>100</v>
      </c>
      <c r="O20" s="24" t="n">
        <f aca="false">G20*N20</f>
        <v>2400</v>
      </c>
      <c r="P20" s="23" t="n">
        <f aca="false">LaborCost</f>
        <v>55</v>
      </c>
      <c r="Q20" s="22" t="s">
        <v>148</v>
      </c>
      <c r="R20" s="23" t="n">
        <f aca="false">P20*INDEX(MarkupVals,MATCH(Q20,MarkupCodes,0))</f>
        <v>100</v>
      </c>
      <c r="S20" s="24" t="n">
        <f aca="false">G20*R20</f>
        <v>2400</v>
      </c>
      <c r="T20" s="25"/>
      <c r="U20" s="26"/>
    </row>
    <row r="21" customFormat="false" ht="15" hidden="false" customHeight="false" outlineLevel="0" collapsed="false">
      <c r="A21" s="18" t="n">
        <v>17</v>
      </c>
      <c r="B21" s="18" t="s">
        <v>194</v>
      </c>
      <c r="C21" s="18" t="s">
        <v>195</v>
      </c>
      <c r="D21" s="18" t="s">
        <v>196</v>
      </c>
      <c r="E21" s="18" t="s">
        <v>139</v>
      </c>
      <c r="F21" s="19" t="s">
        <v>197</v>
      </c>
      <c r="G21" s="20" t="n">
        <f aca="false">1 + p_Kitchen_Full_Gut*ROUNDUP(p_Kitchen_Floor_Area/10,0)</f>
        <v>19</v>
      </c>
      <c r="H21" s="21" t="n">
        <v>23</v>
      </c>
      <c r="I21" s="22" t="s">
        <v>153</v>
      </c>
      <c r="J21" s="23" t="n">
        <f aca="false">H21*INDEX(MarkupVals,MATCH(I21,MarkupCodes,0))</f>
        <v>33.35</v>
      </c>
      <c r="K21" s="24" t="n">
        <f aca="false">G21*J21</f>
        <v>633.65</v>
      </c>
      <c r="L21" s="21" t="n">
        <v>23</v>
      </c>
      <c r="M21" s="22" t="s">
        <v>153</v>
      </c>
      <c r="N21" s="23" t="n">
        <f aca="false">L21*INDEX(MarkupVals,MATCH(M21,MarkupCodes,0))</f>
        <v>33.35</v>
      </c>
      <c r="O21" s="24" t="n">
        <f aca="false">G21*N21</f>
        <v>633.65</v>
      </c>
      <c r="P21" s="21" t="n">
        <v>23</v>
      </c>
      <c r="Q21" s="22" t="s">
        <v>153</v>
      </c>
      <c r="R21" s="23" t="n">
        <f aca="false">P21*INDEX(MarkupVals,MATCH(Q21,MarkupCodes,0))</f>
        <v>33.35</v>
      </c>
      <c r="S21" s="24" t="n">
        <f aca="false">G21*R21</f>
        <v>633.65</v>
      </c>
      <c r="T21" s="25"/>
      <c r="U21" s="26" t="s">
        <v>198</v>
      </c>
    </row>
    <row r="22" customFormat="false" ht="15" hidden="false" customHeight="false" outlineLevel="0" collapsed="false">
      <c r="A22" s="18" t="n">
        <v>18</v>
      </c>
      <c r="B22" s="18" t="s">
        <v>194</v>
      </c>
      <c r="C22" s="18" t="s">
        <v>199</v>
      </c>
      <c r="D22" s="18" t="s">
        <v>200</v>
      </c>
      <c r="E22" s="18" t="s">
        <v>146</v>
      </c>
      <c r="F22" s="19" t="s">
        <v>201</v>
      </c>
      <c r="G22" s="20" t="n">
        <f aca="false">6 + p_Kitchen_Full_Gut*ROUNDUP(p_Kitchen_Floor_Area/15,0)</f>
        <v>18</v>
      </c>
      <c r="H22" s="23" t="n">
        <f aca="false">LaborCost</f>
        <v>55</v>
      </c>
      <c r="I22" s="22" t="s">
        <v>148</v>
      </c>
      <c r="J22" s="23" t="n">
        <f aca="false">H22*INDEX(MarkupVals,MATCH(I22,MarkupCodes,0))</f>
        <v>100</v>
      </c>
      <c r="K22" s="24" t="n">
        <f aca="false">G22*J22</f>
        <v>1800</v>
      </c>
      <c r="L22" s="23" t="n">
        <f aca="false">LaborCost</f>
        <v>55</v>
      </c>
      <c r="M22" s="22" t="s">
        <v>148</v>
      </c>
      <c r="N22" s="23" t="n">
        <f aca="false">L22*INDEX(MarkupVals,MATCH(M22,MarkupCodes,0))</f>
        <v>100</v>
      </c>
      <c r="O22" s="24" t="n">
        <f aca="false">G22*N22</f>
        <v>1800</v>
      </c>
      <c r="P22" s="23" t="n">
        <f aca="false">LaborCost</f>
        <v>55</v>
      </c>
      <c r="Q22" s="22" t="s">
        <v>148</v>
      </c>
      <c r="R22" s="23" t="n">
        <f aca="false">P22*INDEX(MarkupVals,MATCH(Q22,MarkupCodes,0))</f>
        <v>100</v>
      </c>
      <c r="S22" s="24" t="n">
        <f aca="false">G22*R22</f>
        <v>1800</v>
      </c>
      <c r="T22" s="25"/>
      <c r="U22" s="26"/>
    </row>
    <row r="23" customFormat="false" ht="15" hidden="false" customHeight="false" outlineLevel="0" collapsed="false">
      <c r="A23" s="18" t="n">
        <v>19</v>
      </c>
      <c r="B23" s="18" t="s">
        <v>202</v>
      </c>
      <c r="C23" s="18" t="s">
        <v>203</v>
      </c>
      <c r="D23" s="18" t="s">
        <v>196</v>
      </c>
      <c r="E23" s="18" t="s">
        <v>139</v>
      </c>
      <c r="F23" s="19" t="s">
        <v>204</v>
      </c>
      <c r="G23" s="20" t="n">
        <f aca="false">1 + p_Kitchen_Full_Gut</f>
        <v>2</v>
      </c>
      <c r="H23" s="21" t="n">
        <v>115</v>
      </c>
      <c r="I23" s="22" t="s">
        <v>153</v>
      </c>
      <c r="J23" s="23" t="n">
        <f aca="false">H23*INDEX(MarkupVals,MATCH(I23,MarkupCodes,0))</f>
        <v>166.75</v>
      </c>
      <c r="K23" s="24" t="n">
        <f aca="false">G23*J23</f>
        <v>333.5</v>
      </c>
      <c r="L23" s="21" t="n">
        <v>115</v>
      </c>
      <c r="M23" s="22" t="s">
        <v>153</v>
      </c>
      <c r="N23" s="23" t="n">
        <f aca="false">L23*INDEX(MarkupVals,MATCH(M23,MarkupCodes,0))</f>
        <v>166.75</v>
      </c>
      <c r="O23" s="24" t="n">
        <f aca="false">G23*N23</f>
        <v>333.5</v>
      </c>
      <c r="P23" s="21" t="n">
        <v>115</v>
      </c>
      <c r="Q23" s="22" t="s">
        <v>153</v>
      </c>
      <c r="R23" s="23" t="n">
        <f aca="false">P23*INDEX(MarkupVals,MATCH(Q23,MarkupCodes,0))</f>
        <v>166.75</v>
      </c>
      <c r="S23" s="24" t="n">
        <f aca="false">G23*R23</f>
        <v>333.5</v>
      </c>
      <c r="T23" s="25"/>
      <c r="U23" s="26"/>
    </row>
    <row r="24" customFormat="false" ht="15" hidden="false" customHeight="false" outlineLevel="0" collapsed="false">
      <c r="A24" s="18" t="n">
        <v>20</v>
      </c>
      <c r="B24" s="18" t="s">
        <v>202</v>
      </c>
      <c r="C24" s="18" t="s">
        <v>205</v>
      </c>
      <c r="D24" s="18" t="s">
        <v>206</v>
      </c>
      <c r="E24" s="18" t="s">
        <v>146</v>
      </c>
      <c r="F24" s="19" t="s">
        <v>207</v>
      </c>
      <c r="G24" s="20" t="n">
        <f aca="false">3 + ROUNDUP(p_Kitchen_Floor_Area/20,0)</f>
        <v>12</v>
      </c>
      <c r="H24" s="23" t="n">
        <f aca="false">LaborCost</f>
        <v>55</v>
      </c>
      <c r="I24" s="22" t="s">
        <v>148</v>
      </c>
      <c r="J24" s="23" t="n">
        <f aca="false">H24*INDEX(MarkupVals,MATCH(I24,MarkupCodes,0))</f>
        <v>100</v>
      </c>
      <c r="K24" s="24" t="n">
        <f aca="false">G24*J24</f>
        <v>1200</v>
      </c>
      <c r="L24" s="23" t="n">
        <f aca="false">LaborCost</f>
        <v>55</v>
      </c>
      <c r="M24" s="22" t="s">
        <v>148</v>
      </c>
      <c r="N24" s="23" t="n">
        <f aca="false">L24*INDEX(MarkupVals,MATCH(M24,MarkupCodes,0))</f>
        <v>100</v>
      </c>
      <c r="O24" s="24" t="n">
        <f aca="false">G24*N24</f>
        <v>1200</v>
      </c>
      <c r="P24" s="23" t="n">
        <f aca="false">LaborCost</f>
        <v>55</v>
      </c>
      <c r="Q24" s="22" t="s">
        <v>148</v>
      </c>
      <c r="R24" s="23" t="n">
        <f aca="false">P24*INDEX(MarkupVals,MATCH(Q24,MarkupCodes,0))</f>
        <v>100</v>
      </c>
      <c r="S24" s="24" t="n">
        <f aca="false">G24*R24</f>
        <v>1200</v>
      </c>
      <c r="T24" s="25"/>
      <c r="U24" s="26"/>
    </row>
    <row r="25" customFormat="false" ht="15" hidden="false" customHeight="false" outlineLevel="0" collapsed="false">
      <c r="A25" s="18" t="n">
        <v>21</v>
      </c>
      <c r="B25" s="18" t="s">
        <v>208</v>
      </c>
      <c r="C25" s="18" t="s">
        <v>209</v>
      </c>
      <c r="D25" s="18" t="s">
        <v>196</v>
      </c>
      <c r="E25" s="18" t="s">
        <v>190</v>
      </c>
      <c r="F25" s="19" t="s">
        <v>71</v>
      </c>
      <c r="G25" s="20" t="n">
        <f aca="false">p_Kitchen_New_Flooring_Area</f>
        <v>180</v>
      </c>
      <c r="H25" s="21" t="n">
        <v>0.75</v>
      </c>
      <c r="I25" s="22" t="s">
        <v>153</v>
      </c>
      <c r="J25" s="23" t="n">
        <f aca="false">H25*INDEX(MarkupVals,MATCH(I25,MarkupCodes,0))</f>
        <v>1.0875</v>
      </c>
      <c r="K25" s="24" t="n">
        <f aca="false">G25*J25</f>
        <v>195.75</v>
      </c>
      <c r="L25" s="21" t="n">
        <v>0.75</v>
      </c>
      <c r="M25" s="22" t="s">
        <v>153</v>
      </c>
      <c r="N25" s="23" t="n">
        <f aca="false">L25*INDEX(MarkupVals,MATCH(M25,MarkupCodes,0))</f>
        <v>1.0875</v>
      </c>
      <c r="O25" s="24" t="n">
        <f aca="false">G25*N25</f>
        <v>195.75</v>
      </c>
      <c r="P25" s="21" t="n">
        <v>0.75</v>
      </c>
      <c r="Q25" s="22" t="s">
        <v>153</v>
      </c>
      <c r="R25" s="23" t="n">
        <f aca="false">P25*INDEX(MarkupVals,MATCH(Q25,MarkupCodes,0))</f>
        <v>1.0875</v>
      </c>
      <c r="S25" s="24" t="n">
        <f aca="false">G25*R25</f>
        <v>195.75</v>
      </c>
      <c r="T25" s="25"/>
      <c r="U25" s="26"/>
    </row>
    <row r="26" customFormat="false" ht="15" hidden="false" customHeight="false" outlineLevel="0" collapsed="false">
      <c r="A26" s="18" t="n">
        <v>22</v>
      </c>
      <c r="B26" s="18" t="s">
        <v>210</v>
      </c>
      <c r="C26" s="18" t="s">
        <v>211</v>
      </c>
      <c r="D26" s="18" t="s">
        <v>212</v>
      </c>
      <c r="E26" s="18" t="s">
        <v>152</v>
      </c>
      <c r="F26" s="19" t="s">
        <v>213</v>
      </c>
      <c r="G26" s="20" t="n">
        <f aca="false">ROUNDUP(2.5*p_Kitchen_Cabinet_Run,0)</f>
        <v>65</v>
      </c>
      <c r="H26" s="21" t="n">
        <v>10</v>
      </c>
      <c r="I26" s="22" t="s">
        <v>153</v>
      </c>
      <c r="J26" s="23" t="n">
        <f aca="false">H26*INDEX(MarkupVals,MATCH(I26,MarkupCodes,0))</f>
        <v>14.5</v>
      </c>
      <c r="K26" s="24" t="n">
        <f aca="false">G26*J26</f>
        <v>942.5</v>
      </c>
      <c r="L26" s="21" t="n">
        <v>10</v>
      </c>
      <c r="M26" s="22" t="s">
        <v>153</v>
      </c>
      <c r="N26" s="23" t="n">
        <f aca="false">L26*INDEX(MarkupVals,MATCH(M26,MarkupCodes,0))</f>
        <v>14.5</v>
      </c>
      <c r="O26" s="24" t="n">
        <f aca="false">G26*N26</f>
        <v>942.5</v>
      </c>
      <c r="P26" s="21" t="n">
        <v>10</v>
      </c>
      <c r="Q26" s="22" t="s">
        <v>153</v>
      </c>
      <c r="R26" s="23" t="n">
        <f aca="false">P26*INDEX(MarkupVals,MATCH(Q26,MarkupCodes,0))</f>
        <v>14.5</v>
      </c>
      <c r="S26" s="24" t="n">
        <f aca="false">G26*R26</f>
        <v>942.5</v>
      </c>
      <c r="T26" s="25"/>
      <c r="U26" s="26"/>
    </row>
    <row r="27" customFormat="false" ht="15" hidden="false" customHeight="false" outlineLevel="0" collapsed="false">
      <c r="A27" s="18" t="n">
        <v>23</v>
      </c>
      <c r="B27" s="18" t="s">
        <v>214</v>
      </c>
      <c r="C27" s="18" t="s">
        <v>215</v>
      </c>
      <c r="D27" s="18" t="s">
        <v>216</v>
      </c>
      <c r="E27" s="18" t="s">
        <v>146</v>
      </c>
      <c r="F27" s="19" t="s">
        <v>217</v>
      </c>
      <c r="G27" s="20" t="n">
        <f aca="false">2*p_Kitchen_Appliances_Installed</f>
        <v>8</v>
      </c>
      <c r="H27" s="23" t="n">
        <f aca="false">LaborCost</f>
        <v>55</v>
      </c>
      <c r="I27" s="22" t="s">
        <v>148</v>
      </c>
      <c r="J27" s="23" t="n">
        <f aca="false">H27*INDEX(MarkupVals,MATCH(I27,MarkupCodes,0))</f>
        <v>100</v>
      </c>
      <c r="K27" s="24" t="n">
        <f aca="false">G27*J27</f>
        <v>800</v>
      </c>
      <c r="L27" s="23" t="n">
        <f aca="false">LaborCost</f>
        <v>55</v>
      </c>
      <c r="M27" s="22" t="s">
        <v>148</v>
      </c>
      <c r="N27" s="23" t="n">
        <f aca="false">L27*INDEX(MarkupVals,MATCH(M27,MarkupCodes,0))</f>
        <v>100</v>
      </c>
      <c r="O27" s="24" t="n">
        <f aca="false">G27*N27</f>
        <v>800</v>
      </c>
      <c r="P27" s="23" t="n">
        <f aca="false">LaborCost</f>
        <v>55</v>
      </c>
      <c r="Q27" s="22" t="s">
        <v>148</v>
      </c>
      <c r="R27" s="23" t="n">
        <f aca="false">P27*INDEX(MarkupVals,MATCH(Q27,MarkupCodes,0))</f>
        <v>100</v>
      </c>
      <c r="S27" s="24" t="n">
        <f aca="false">G27*R27</f>
        <v>800</v>
      </c>
      <c r="T27" s="25"/>
      <c r="U27" s="26" t="s">
        <v>218</v>
      </c>
    </row>
    <row r="28" customFormat="false" ht="15" hidden="false" customHeight="false" outlineLevel="0" collapsed="false">
      <c r="A28" s="18" t="n">
        <v>24</v>
      </c>
      <c r="B28" s="18" t="s">
        <v>219</v>
      </c>
      <c r="C28" s="18" t="s">
        <v>220</v>
      </c>
      <c r="D28" s="18" t="s">
        <v>221</v>
      </c>
      <c r="E28" s="18" t="s">
        <v>152</v>
      </c>
      <c r="F28" s="19" t="s">
        <v>97</v>
      </c>
      <c r="G28" s="20" t="n">
        <f aca="false">p_Kitchen_Interior_Doors</f>
        <v>0</v>
      </c>
      <c r="H28" s="21" t="n">
        <v>400</v>
      </c>
      <c r="I28" s="22" t="s">
        <v>153</v>
      </c>
      <c r="J28" s="23" t="n">
        <f aca="false">H28*INDEX(MarkupVals,MATCH(I28,MarkupCodes,0))</f>
        <v>580</v>
      </c>
      <c r="K28" s="24" t="n">
        <f aca="false">G28*J28</f>
        <v>0</v>
      </c>
      <c r="L28" s="21" t="n">
        <v>400</v>
      </c>
      <c r="M28" s="22" t="s">
        <v>153</v>
      </c>
      <c r="N28" s="23" t="n">
        <f aca="false">L28*INDEX(MarkupVals,MATCH(M28,MarkupCodes,0))</f>
        <v>580</v>
      </c>
      <c r="O28" s="24" t="n">
        <f aca="false">G28*N28</f>
        <v>0</v>
      </c>
      <c r="P28" s="21" t="n">
        <v>400</v>
      </c>
      <c r="Q28" s="22" t="s">
        <v>153</v>
      </c>
      <c r="R28" s="23" t="n">
        <f aca="false">P28*INDEX(MarkupVals,MATCH(Q28,MarkupCodes,0))</f>
        <v>580</v>
      </c>
      <c r="S28" s="24" t="n">
        <f aca="false">G28*R28</f>
        <v>0</v>
      </c>
      <c r="T28" s="25"/>
      <c r="U28" s="26"/>
    </row>
    <row r="29" customFormat="false" ht="15" hidden="false" customHeight="false" outlineLevel="0" collapsed="false">
      <c r="A29" s="18" t="n">
        <v>25</v>
      </c>
      <c r="B29" s="18" t="s">
        <v>222</v>
      </c>
      <c r="C29" s="18" t="s">
        <v>223</v>
      </c>
      <c r="D29" s="18" t="s">
        <v>221</v>
      </c>
      <c r="E29" s="18" t="s">
        <v>152</v>
      </c>
      <c r="F29" s="19" t="s">
        <v>100</v>
      </c>
      <c r="G29" s="20" t="n">
        <f aca="false">p_Kitchen_Exterior_Doors</f>
        <v>0</v>
      </c>
      <c r="H29" s="21" t="n">
        <v>1230</v>
      </c>
      <c r="I29" s="22" t="s">
        <v>153</v>
      </c>
      <c r="J29" s="23" t="n">
        <f aca="false">H29*INDEX(MarkupVals,MATCH(I29,MarkupCodes,0))</f>
        <v>1783.5</v>
      </c>
      <c r="K29" s="24" t="n">
        <f aca="false">G29*J29</f>
        <v>0</v>
      </c>
      <c r="L29" s="21" t="n">
        <v>1230</v>
      </c>
      <c r="M29" s="22" t="s">
        <v>153</v>
      </c>
      <c r="N29" s="23" t="n">
        <f aca="false">L29*INDEX(MarkupVals,MATCH(M29,MarkupCodes,0))</f>
        <v>1783.5</v>
      </c>
      <c r="O29" s="24" t="n">
        <f aca="false">G29*N29</f>
        <v>0</v>
      </c>
      <c r="P29" s="21" t="n">
        <v>1230</v>
      </c>
      <c r="Q29" s="22" t="s">
        <v>153</v>
      </c>
      <c r="R29" s="23" t="n">
        <f aca="false">P29*INDEX(MarkupVals,MATCH(Q29,MarkupCodes,0))</f>
        <v>1783.5</v>
      </c>
      <c r="S29" s="24" t="n">
        <f aca="false">G29*R29</f>
        <v>0</v>
      </c>
      <c r="T29" s="25"/>
      <c r="U29" s="26" t="s">
        <v>224</v>
      </c>
    </row>
    <row r="30" customFormat="false" ht="15" hidden="false" customHeight="false" outlineLevel="0" collapsed="false">
      <c r="A30" s="18" t="n">
        <v>26</v>
      </c>
      <c r="B30" s="18" t="s">
        <v>219</v>
      </c>
      <c r="C30" s="18" t="s">
        <v>225</v>
      </c>
      <c r="D30" s="18" t="s">
        <v>221</v>
      </c>
      <c r="E30" s="18" t="s">
        <v>146</v>
      </c>
      <c r="F30" s="19" t="s">
        <v>226</v>
      </c>
      <c r="G30" s="20" t="n">
        <f aca="false">3*p_Kitchen_Interior_Doors + 8*p_Kitchen_Exterior_Doors</f>
        <v>0</v>
      </c>
      <c r="H30" s="23" t="n">
        <f aca="false">LaborCost</f>
        <v>55</v>
      </c>
      <c r="I30" s="22" t="s">
        <v>148</v>
      </c>
      <c r="J30" s="23" t="n">
        <f aca="false">H30*INDEX(MarkupVals,MATCH(I30,MarkupCodes,0))</f>
        <v>100</v>
      </c>
      <c r="K30" s="24" t="n">
        <f aca="false">G30*J30</f>
        <v>0</v>
      </c>
      <c r="L30" s="23" t="n">
        <f aca="false">LaborCost</f>
        <v>55</v>
      </c>
      <c r="M30" s="22" t="s">
        <v>148</v>
      </c>
      <c r="N30" s="23" t="n">
        <f aca="false">L30*INDEX(MarkupVals,MATCH(M30,MarkupCodes,0))</f>
        <v>100</v>
      </c>
      <c r="O30" s="24" t="n">
        <f aca="false">G30*N30</f>
        <v>0</v>
      </c>
      <c r="P30" s="23" t="n">
        <f aca="false">LaborCost</f>
        <v>55</v>
      </c>
      <c r="Q30" s="22" t="s">
        <v>148</v>
      </c>
      <c r="R30" s="23" t="n">
        <f aca="false">P30*INDEX(MarkupVals,MATCH(Q30,MarkupCodes,0))</f>
        <v>100</v>
      </c>
      <c r="S30" s="24" t="n">
        <f aca="false">G30*R30</f>
        <v>0</v>
      </c>
      <c r="T30" s="25"/>
      <c r="U30" s="26"/>
    </row>
    <row r="31" customFormat="false" ht="15" hidden="false" customHeight="false" outlineLevel="0" collapsed="false">
      <c r="A31" s="18" t="n">
        <v>27</v>
      </c>
      <c r="B31" s="18" t="s">
        <v>227</v>
      </c>
      <c r="C31" s="18" t="s">
        <v>228</v>
      </c>
      <c r="D31" s="18" t="s">
        <v>172</v>
      </c>
      <c r="E31" s="18" t="s">
        <v>139</v>
      </c>
      <c r="F31" s="19" t="s">
        <v>197</v>
      </c>
      <c r="G31" s="20" t="n">
        <f aca="false">1 + p_Kitchen_Full_Gut*ROUNDUP(p_Kitchen_Floor_Area/10,0)</f>
        <v>19</v>
      </c>
      <c r="H31" s="21" t="n">
        <v>20</v>
      </c>
      <c r="I31" s="22" t="s">
        <v>153</v>
      </c>
      <c r="J31" s="23" t="n">
        <f aca="false">H31*INDEX(MarkupVals,MATCH(I31,MarkupCodes,0))</f>
        <v>29</v>
      </c>
      <c r="K31" s="24" t="n">
        <f aca="false">G31*J31</f>
        <v>551</v>
      </c>
      <c r="L31" s="21" t="n">
        <v>20</v>
      </c>
      <c r="M31" s="22" t="s">
        <v>153</v>
      </c>
      <c r="N31" s="23" t="n">
        <f aca="false">L31*INDEX(MarkupVals,MATCH(M31,MarkupCodes,0))</f>
        <v>29</v>
      </c>
      <c r="O31" s="24" t="n">
        <f aca="false">G31*N31</f>
        <v>551</v>
      </c>
      <c r="P31" s="21" t="n">
        <v>20</v>
      </c>
      <c r="Q31" s="22" t="s">
        <v>153</v>
      </c>
      <c r="R31" s="23" t="n">
        <f aca="false">P31*INDEX(MarkupVals,MATCH(Q31,MarkupCodes,0))</f>
        <v>29</v>
      </c>
      <c r="S31" s="24" t="n">
        <f aca="false">G31*R31</f>
        <v>551</v>
      </c>
      <c r="T31" s="25"/>
      <c r="U31" s="26"/>
    </row>
    <row r="32" customFormat="false" ht="15" hidden="false" customHeight="false" outlineLevel="0" collapsed="false">
      <c r="A32" s="18" t="n">
        <v>28</v>
      </c>
      <c r="B32" s="18" t="s">
        <v>227</v>
      </c>
      <c r="C32" s="18" t="s">
        <v>229</v>
      </c>
      <c r="D32" s="18" t="s">
        <v>230</v>
      </c>
      <c r="E32" s="18" t="s">
        <v>146</v>
      </c>
      <c r="F32" s="19" t="s">
        <v>231</v>
      </c>
      <c r="G32" s="20" t="n">
        <f aca="false">2 + p_Kitchen_Full_Gut*ROUNDUP(p_Kitchen_Floor_Area/12,0) + p_Kitchen_Interior_Doors + 2*p_Kitchen_Exterior_Doors</f>
        <v>17</v>
      </c>
      <c r="H32" s="23" t="n">
        <f aca="false">LaborCost</f>
        <v>55</v>
      </c>
      <c r="I32" s="22" t="s">
        <v>148</v>
      </c>
      <c r="J32" s="23" t="n">
        <f aca="false">H32*INDEX(MarkupVals,MATCH(I32,MarkupCodes,0))</f>
        <v>100</v>
      </c>
      <c r="K32" s="24" t="n">
        <f aca="false">G32*J32</f>
        <v>1700</v>
      </c>
      <c r="L32" s="23" t="n">
        <f aca="false">LaborCost</f>
        <v>55</v>
      </c>
      <c r="M32" s="22" t="s">
        <v>148</v>
      </c>
      <c r="N32" s="23" t="n">
        <f aca="false">L32*INDEX(MarkupVals,MATCH(M32,MarkupCodes,0))</f>
        <v>100</v>
      </c>
      <c r="O32" s="24" t="n">
        <f aca="false">G32*N32</f>
        <v>1700</v>
      </c>
      <c r="P32" s="23" t="n">
        <f aca="false">LaborCost</f>
        <v>55</v>
      </c>
      <c r="Q32" s="22" t="s">
        <v>148</v>
      </c>
      <c r="R32" s="23" t="n">
        <f aca="false">P32*INDEX(MarkupVals,MATCH(Q32,MarkupCodes,0))</f>
        <v>100</v>
      </c>
      <c r="S32" s="24" t="n">
        <f aca="false">G32*R32</f>
        <v>1700</v>
      </c>
      <c r="T32" s="25"/>
      <c r="U32" s="26"/>
    </row>
    <row r="33" customFormat="false" ht="15" hidden="false" customHeight="false" outlineLevel="0" collapsed="false">
      <c r="A33" s="18" t="n">
        <v>29</v>
      </c>
      <c r="B33" s="18" t="s">
        <v>232</v>
      </c>
      <c r="C33" s="18" t="s">
        <v>233</v>
      </c>
      <c r="D33" s="18" t="s">
        <v>212</v>
      </c>
      <c r="E33" s="18" t="s">
        <v>234</v>
      </c>
      <c r="F33" s="19" t="s">
        <v>44</v>
      </c>
      <c r="G33" s="20" t="n">
        <f aca="false">p_Kitchen_Cabinet_Run</f>
        <v>26</v>
      </c>
      <c r="H33" s="21" t="n">
        <v>400</v>
      </c>
      <c r="I33" s="22" t="s">
        <v>153</v>
      </c>
      <c r="J33" s="23" t="n">
        <f aca="false">H33*INDEX(MarkupVals,MATCH(I33,MarkupCodes,0))</f>
        <v>580</v>
      </c>
      <c r="K33" s="24" t="n">
        <f aca="false">G33*J33</f>
        <v>15080</v>
      </c>
      <c r="L33" s="21" t="n">
        <v>600</v>
      </c>
      <c r="M33" s="22" t="s">
        <v>153</v>
      </c>
      <c r="N33" s="23" t="n">
        <f aca="false">L33*INDEX(MarkupVals,MATCH(M33,MarkupCodes,0))</f>
        <v>870</v>
      </c>
      <c r="O33" s="24" t="n">
        <f aca="false">G33*N33</f>
        <v>22620</v>
      </c>
      <c r="P33" s="21" t="n">
        <v>900</v>
      </c>
      <c r="Q33" s="22" t="s">
        <v>153</v>
      </c>
      <c r="R33" s="23" t="n">
        <f aca="false">P33*INDEX(MarkupVals,MATCH(Q33,MarkupCodes,0))</f>
        <v>1305</v>
      </c>
      <c r="S33" s="24" t="n">
        <f aca="false">G33*R33</f>
        <v>33930</v>
      </c>
      <c r="T33" s="25" t="s">
        <v>235</v>
      </c>
      <c r="U33" s="26" t="s">
        <v>236</v>
      </c>
    </row>
    <row r="34" customFormat="false" ht="15" hidden="false" customHeight="false" outlineLevel="0" collapsed="false">
      <c r="A34" s="18" t="n">
        <v>30</v>
      </c>
      <c r="B34" s="18" t="s">
        <v>237</v>
      </c>
      <c r="C34" s="18" t="s">
        <v>238</v>
      </c>
      <c r="D34" s="18" t="s">
        <v>212</v>
      </c>
      <c r="E34" s="18" t="s">
        <v>146</v>
      </c>
      <c r="F34" s="19" t="s">
        <v>239</v>
      </c>
      <c r="G34" s="20" t="n">
        <f aca="false">4 + ROUNDUP(1.1*p_Kitchen_Cabinet_Run,0)</f>
        <v>33</v>
      </c>
      <c r="H34" s="23" t="n">
        <f aca="false">LaborCost</f>
        <v>55</v>
      </c>
      <c r="I34" s="22" t="s">
        <v>148</v>
      </c>
      <c r="J34" s="23" t="n">
        <f aca="false">H34*INDEX(MarkupVals,MATCH(I34,MarkupCodes,0))</f>
        <v>100</v>
      </c>
      <c r="K34" s="24" t="n">
        <f aca="false">G34*J34</f>
        <v>3300</v>
      </c>
      <c r="L34" s="21" t="n">
        <v>0</v>
      </c>
      <c r="M34" s="22" t="s">
        <v>148</v>
      </c>
      <c r="N34" s="23" t="n">
        <f aca="false">L34*INDEX(MarkupVals,MATCH(M34,MarkupCodes,0))</f>
        <v>0</v>
      </c>
      <c r="O34" s="24" t="n">
        <f aca="false">G34*N34</f>
        <v>0</v>
      </c>
      <c r="P34" s="21" t="n">
        <v>0</v>
      </c>
      <c r="Q34" s="22" t="s">
        <v>148</v>
      </c>
      <c r="R34" s="23" t="n">
        <f aca="false">P34*INDEX(MarkupVals,MATCH(Q34,MarkupCodes,0))</f>
        <v>0</v>
      </c>
      <c r="S34" s="24" t="n">
        <f aca="false">G34*R34</f>
        <v>0</v>
      </c>
      <c r="T34" s="25"/>
      <c r="U34" s="26" t="s">
        <v>240</v>
      </c>
    </row>
    <row r="35" customFormat="false" ht="15" hidden="false" customHeight="false" outlineLevel="0" collapsed="false">
      <c r="A35" s="18" t="n">
        <v>31</v>
      </c>
      <c r="B35" s="18" t="s">
        <v>241</v>
      </c>
      <c r="C35" s="18" t="s">
        <v>242</v>
      </c>
      <c r="D35" s="18" t="s">
        <v>212</v>
      </c>
      <c r="E35" s="18" t="s">
        <v>146</v>
      </c>
      <c r="F35" s="19" t="s">
        <v>243</v>
      </c>
      <c r="G35" s="20" t="n">
        <f aca="false">4 + ROUNDUP(1.3*p_Kitchen_Cabinet_Run,0)</f>
        <v>38</v>
      </c>
      <c r="H35" s="21" t="n">
        <v>0</v>
      </c>
      <c r="I35" s="22" t="s">
        <v>148</v>
      </c>
      <c r="J35" s="23" t="n">
        <f aca="false">H35*INDEX(MarkupVals,MATCH(I35,MarkupCodes,0))</f>
        <v>0</v>
      </c>
      <c r="K35" s="24" t="n">
        <f aca="false">G35*J35</f>
        <v>0</v>
      </c>
      <c r="L35" s="23" t="n">
        <f aca="false">LaborCost</f>
        <v>55</v>
      </c>
      <c r="M35" s="22" t="s">
        <v>148</v>
      </c>
      <c r="N35" s="23" t="n">
        <f aca="false">L35*INDEX(MarkupVals,MATCH(M35,MarkupCodes,0))</f>
        <v>100</v>
      </c>
      <c r="O35" s="24" t="n">
        <f aca="false">G35*N35</f>
        <v>3800</v>
      </c>
      <c r="P35" s="21" t="n">
        <v>0</v>
      </c>
      <c r="Q35" s="22" t="s">
        <v>148</v>
      </c>
      <c r="R35" s="23" t="n">
        <f aca="false">P35*INDEX(MarkupVals,MATCH(Q35,MarkupCodes,0))</f>
        <v>0</v>
      </c>
      <c r="S35" s="24" t="n">
        <f aca="false">G35*R35</f>
        <v>0</v>
      </c>
      <c r="T35" s="25"/>
      <c r="U35" s="26" t="s">
        <v>240</v>
      </c>
    </row>
    <row r="36" customFormat="false" ht="15" hidden="false" customHeight="false" outlineLevel="0" collapsed="false">
      <c r="A36" s="18" t="n">
        <v>32</v>
      </c>
      <c r="B36" s="18" t="s">
        <v>244</v>
      </c>
      <c r="C36" s="18" t="s">
        <v>245</v>
      </c>
      <c r="D36" s="18" t="s">
        <v>212</v>
      </c>
      <c r="E36" s="18" t="s">
        <v>146</v>
      </c>
      <c r="F36" s="19" t="s">
        <v>246</v>
      </c>
      <c r="G36" s="20" t="n">
        <f aca="false">4 + ROUNDUP(1.5*p_Kitchen_Cabinet_Run,0)</f>
        <v>43</v>
      </c>
      <c r="H36" s="21" t="n">
        <v>0</v>
      </c>
      <c r="I36" s="22" t="s">
        <v>148</v>
      </c>
      <c r="J36" s="23" t="n">
        <f aca="false">H36*INDEX(MarkupVals,MATCH(I36,MarkupCodes,0))</f>
        <v>0</v>
      </c>
      <c r="K36" s="24" t="n">
        <f aca="false">G36*J36</f>
        <v>0</v>
      </c>
      <c r="L36" s="21" t="n">
        <v>0</v>
      </c>
      <c r="M36" s="22" t="s">
        <v>148</v>
      </c>
      <c r="N36" s="23" t="n">
        <f aca="false">L36*INDEX(MarkupVals,MATCH(M36,MarkupCodes,0))</f>
        <v>0</v>
      </c>
      <c r="O36" s="24" t="n">
        <f aca="false">G36*N36</f>
        <v>0</v>
      </c>
      <c r="P36" s="23" t="n">
        <f aca="false">LaborCost</f>
        <v>55</v>
      </c>
      <c r="Q36" s="22" t="s">
        <v>148</v>
      </c>
      <c r="R36" s="23" t="n">
        <f aca="false">P36*INDEX(MarkupVals,MATCH(Q36,MarkupCodes,0))</f>
        <v>100</v>
      </c>
      <c r="S36" s="24" t="n">
        <f aca="false">G36*R36</f>
        <v>4300</v>
      </c>
      <c r="T36" s="25"/>
      <c r="U36" s="26" t="s">
        <v>240</v>
      </c>
    </row>
    <row r="37" customFormat="false" ht="15" hidden="false" customHeight="false" outlineLevel="0" collapsed="false">
      <c r="A37" s="18" t="n">
        <v>33</v>
      </c>
      <c r="B37" s="18" t="s">
        <v>232</v>
      </c>
      <c r="C37" s="18" t="s">
        <v>247</v>
      </c>
      <c r="D37" s="18" t="s">
        <v>212</v>
      </c>
      <c r="E37" s="18" t="s">
        <v>190</v>
      </c>
      <c r="F37" s="19" t="s">
        <v>248</v>
      </c>
      <c r="G37" s="20" t="n">
        <f aca="false">2*p_Kitchen_Cabinet_Run + ROUNDUP(1.5*p_Kitchen_Island_Length,0)</f>
        <v>61</v>
      </c>
      <c r="H37" s="21" t="n">
        <v>23</v>
      </c>
      <c r="I37" s="22" t="s">
        <v>153</v>
      </c>
      <c r="J37" s="23" t="n">
        <f aca="false">H37*INDEX(MarkupVals,MATCH(I37,MarkupCodes,0))</f>
        <v>33.35</v>
      </c>
      <c r="K37" s="24" t="n">
        <f aca="false">G37*J37</f>
        <v>2034.35</v>
      </c>
      <c r="L37" s="21" t="n">
        <v>80</v>
      </c>
      <c r="M37" s="22" t="s">
        <v>249</v>
      </c>
      <c r="N37" s="23" t="n">
        <f aca="false">L37*INDEX(MarkupVals,MATCH(M37,MarkupCodes,0))</f>
        <v>104</v>
      </c>
      <c r="O37" s="24" t="n">
        <f aca="false">G37*N37</f>
        <v>6344</v>
      </c>
      <c r="P37" s="21" t="n">
        <v>123</v>
      </c>
      <c r="Q37" s="22" t="s">
        <v>249</v>
      </c>
      <c r="R37" s="23" t="n">
        <f aca="false">P37*INDEX(MarkupVals,MATCH(Q37,MarkupCodes,0))</f>
        <v>159.9</v>
      </c>
      <c r="S37" s="24" t="n">
        <f aca="false">G37*R37</f>
        <v>9753.9</v>
      </c>
      <c r="T37" s="25" t="s">
        <v>235</v>
      </c>
      <c r="U37" s="26" t="s">
        <v>250</v>
      </c>
    </row>
    <row r="38" customFormat="false" ht="15" hidden="false" customHeight="false" outlineLevel="0" collapsed="false">
      <c r="A38" s="18" t="n">
        <v>34</v>
      </c>
      <c r="B38" s="18" t="s">
        <v>232</v>
      </c>
      <c r="C38" s="18" t="s">
        <v>251</v>
      </c>
      <c r="D38" s="18" t="s">
        <v>252</v>
      </c>
      <c r="E38" s="18" t="s">
        <v>190</v>
      </c>
      <c r="F38" s="19" t="s">
        <v>253</v>
      </c>
      <c r="G38" s="20" t="n">
        <f aca="false">p_Kitchen_Backsplash*ROUNDUP(1.5*(p_Kitchen_Cabinet_Run - p_Kitchen_Island_Length),0)</f>
        <v>30</v>
      </c>
      <c r="H38" s="21" t="n">
        <v>20</v>
      </c>
      <c r="I38" s="22" t="s">
        <v>249</v>
      </c>
      <c r="J38" s="23" t="n">
        <f aca="false">H38*INDEX(MarkupVals,MATCH(I38,MarkupCodes,0))</f>
        <v>26</v>
      </c>
      <c r="K38" s="24" t="n">
        <f aca="false">G38*J38</f>
        <v>780</v>
      </c>
      <c r="L38" s="21" t="n">
        <v>35</v>
      </c>
      <c r="M38" s="22" t="s">
        <v>249</v>
      </c>
      <c r="N38" s="23" t="n">
        <f aca="false">L38*INDEX(MarkupVals,MATCH(M38,MarkupCodes,0))</f>
        <v>45.5</v>
      </c>
      <c r="O38" s="24" t="n">
        <f aca="false">G38*N38</f>
        <v>1365</v>
      </c>
      <c r="P38" s="21" t="n">
        <v>120</v>
      </c>
      <c r="Q38" s="22" t="s">
        <v>249</v>
      </c>
      <c r="R38" s="23" t="n">
        <f aca="false">P38*INDEX(MarkupVals,MATCH(Q38,MarkupCodes,0))</f>
        <v>156</v>
      </c>
      <c r="S38" s="24" t="n">
        <f aca="false">G38*R38</f>
        <v>4680</v>
      </c>
      <c r="T38" s="25" t="s">
        <v>235</v>
      </c>
      <c r="U38" s="26" t="s">
        <v>254</v>
      </c>
    </row>
    <row r="39" customFormat="false" ht="15" hidden="false" customHeight="false" outlineLevel="0" collapsed="false">
      <c r="A39" s="18" t="n">
        <v>35</v>
      </c>
      <c r="B39" s="18" t="s">
        <v>232</v>
      </c>
      <c r="C39" s="18" t="s">
        <v>255</v>
      </c>
      <c r="D39" s="18" t="s">
        <v>179</v>
      </c>
      <c r="E39" s="18" t="s">
        <v>152</v>
      </c>
      <c r="F39" s="19" t="s">
        <v>140</v>
      </c>
      <c r="G39" s="20" t="n">
        <f aca="false">1</f>
        <v>1</v>
      </c>
      <c r="H39" s="21" t="n">
        <v>300</v>
      </c>
      <c r="I39" s="22" t="s">
        <v>153</v>
      </c>
      <c r="J39" s="23" t="n">
        <f aca="false">H39*INDEX(MarkupVals,MATCH(I39,MarkupCodes,0))</f>
        <v>435</v>
      </c>
      <c r="K39" s="24" t="n">
        <f aca="false">G39*J39</f>
        <v>435</v>
      </c>
      <c r="L39" s="21" t="n">
        <v>600</v>
      </c>
      <c r="M39" s="22" t="s">
        <v>153</v>
      </c>
      <c r="N39" s="23" t="n">
        <f aca="false">L39*INDEX(MarkupVals,MATCH(M39,MarkupCodes,0))</f>
        <v>870</v>
      </c>
      <c r="O39" s="24" t="n">
        <f aca="false">G39*N39</f>
        <v>870</v>
      </c>
      <c r="P39" s="21" t="n">
        <v>1000</v>
      </c>
      <c r="Q39" s="22" t="s">
        <v>153</v>
      </c>
      <c r="R39" s="23" t="n">
        <f aca="false">P39*INDEX(MarkupVals,MATCH(Q39,MarkupCodes,0))</f>
        <v>1450</v>
      </c>
      <c r="S39" s="24" t="n">
        <f aca="false">G39*R39</f>
        <v>1450</v>
      </c>
      <c r="T39" s="25" t="s">
        <v>235</v>
      </c>
      <c r="U39" s="26"/>
    </row>
    <row r="40" customFormat="false" ht="15" hidden="false" customHeight="false" outlineLevel="0" collapsed="false">
      <c r="A40" s="18" t="n">
        <v>36</v>
      </c>
      <c r="B40" s="18" t="s">
        <v>232</v>
      </c>
      <c r="C40" s="18" t="s">
        <v>256</v>
      </c>
      <c r="D40" s="18" t="s">
        <v>216</v>
      </c>
      <c r="E40" s="18" t="s">
        <v>152</v>
      </c>
      <c r="F40" s="19" t="s">
        <v>56</v>
      </c>
      <c r="G40" s="20" t="n">
        <f aca="false">p_Kitchen_Appliances_Supplied</f>
        <v>0</v>
      </c>
      <c r="H40" s="21" t="n">
        <v>700</v>
      </c>
      <c r="I40" s="22" t="s">
        <v>153</v>
      </c>
      <c r="J40" s="23" t="n">
        <f aca="false">H40*INDEX(MarkupVals,MATCH(I40,MarkupCodes,0))</f>
        <v>1015</v>
      </c>
      <c r="K40" s="24" t="n">
        <f aca="false">G40*J40</f>
        <v>0</v>
      </c>
      <c r="L40" s="21" t="n">
        <v>1400</v>
      </c>
      <c r="M40" s="22" t="s">
        <v>153</v>
      </c>
      <c r="N40" s="23" t="n">
        <f aca="false">L40*INDEX(MarkupVals,MATCH(M40,MarkupCodes,0))</f>
        <v>2030</v>
      </c>
      <c r="O40" s="24" t="n">
        <f aca="false">G40*N40</f>
        <v>0</v>
      </c>
      <c r="P40" s="21" t="n">
        <v>2300</v>
      </c>
      <c r="Q40" s="22" t="s">
        <v>153</v>
      </c>
      <c r="R40" s="23" t="n">
        <f aca="false">P40*INDEX(MarkupVals,MATCH(Q40,MarkupCodes,0))</f>
        <v>3335</v>
      </c>
      <c r="S40" s="24" t="n">
        <f aca="false">G40*R40</f>
        <v>0</v>
      </c>
      <c r="T40" s="25" t="s">
        <v>235</v>
      </c>
      <c r="U40" s="26" t="s">
        <v>257</v>
      </c>
    </row>
    <row r="41" customFormat="false" ht="15" hidden="false" customHeight="false" outlineLevel="0" collapsed="false">
      <c r="A41" s="18" t="n">
        <v>37</v>
      </c>
      <c r="B41" s="18" t="s">
        <v>232</v>
      </c>
      <c r="C41" s="18" t="s">
        <v>258</v>
      </c>
      <c r="D41" s="18" t="s">
        <v>196</v>
      </c>
      <c r="E41" s="18" t="s">
        <v>190</v>
      </c>
      <c r="F41" s="19" t="s">
        <v>71</v>
      </c>
      <c r="G41" s="20" t="n">
        <f aca="false">p_Kitchen_New_Flooring_Area</f>
        <v>180</v>
      </c>
      <c r="H41" s="21" t="n">
        <v>4</v>
      </c>
      <c r="I41" s="22" t="s">
        <v>153</v>
      </c>
      <c r="J41" s="23" t="n">
        <f aca="false">H41*INDEX(MarkupVals,MATCH(I41,MarkupCodes,0))</f>
        <v>5.8</v>
      </c>
      <c r="K41" s="24" t="n">
        <f aca="false">G41*J41</f>
        <v>1044</v>
      </c>
      <c r="L41" s="21" t="n">
        <v>5</v>
      </c>
      <c r="M41" s="22" t="s">
        <v>153</v>
      </c>
      <c r="N41" s="23" t="n">
        <f aca="false">L41*INDEX(MarkupVals,MATCH(M41,MarkupCodes,0))</f>
        <v>7.25</v>
      </c>
      <c r="O41" s="24" t="n">
        <f aca="false">G41*N41</f>
        <v>1305</v>
      </c>
      <c r="P41" s="21" t="n">
        <v>15</v>
      </c>
      <c r="Q41" s="22" t="s">
        <v>249</v>
      </c>
      <c r="R41" s="23" t="n">
        <f aca="false">P41*INDEX(MarkupVals,MATCH(Q41,MarkupCodes,0))</f>
        <v>19.5</v>
      </c>
      <c r="S41" s="24" t="n">
        <f aca="false">G41*R41</f>
        <v>3510</v>
      </c>
      <c r="T41" s="25" t="s">
        <v>235</v>
      </c>
      <c r="U41" s="26" t="s">
        <v>259</v>
      </c>
    </row>
    <row r="42" customFormat="false" ht="15" hidden="false" customHeight="false" outlineLevel="0" collapsed="false">
      <c r="A42" s="18" t="n">
        <v>38</v>
      </c>
      <c r="B42" s="18" t="s">
        <v>237</v>
      </c>
      <c r="C42" s="18" t="s">
        <v>260</v>
      </c>
      <c r="D42" s="18" t="s">
        <v>261</v>
      </c>
      <c r="E42" s="18" t="s">
        <v>146</v>
      </c>
      <c r="F42" s="19" t="s">
        <v>262</v>
      </c>
      <c r="G42" s="20" t="n">
        <f aca="false">ROUNDUP(p_Kitchen_New_Flooring_Area/20,0) + ROUNDUP(p_Kitchen_New_Flooring_Area/10000,0)</f>
        <v>10</v>
      </c>
      <c r="H42" s="23" t="n">
        <f aca="false">LaborCost</f>
        <v>55</v>
      </c>
      <c r="I42" s="22" t="s">
        <v>148</v>
      </c>
      <c r="J42" s="23" t="n">
        <f aca="false">H42*INDEX(MarkupVals,MATCH(I42,MarkupCodes,0))</f>
        <v>100</v>
      </c>
      <c r="K42" s="24" t="n">
        <f aca="false">G42*J42</f>
        <v>1000</v>
      </c>
      <c r="L42" s="21" t="n">
        <v>0</v>
      </c>
      <c r="M42" s="22" t="s">
        <v>148</v>
      </c>
      <c r="N42" s="23" t="n">
        <f aca="false">L42*INDEX(MarkupVals,MATCH(M42,MarkupCodes,0))</f>
        <v>0</v>
      </c>
      <c r="O42" s="24" t="n">
        <f aca="false">G42*N42</f>
        <v>0</v>
      </c>
      <c r="P42" s="21" t="n">
        <v>0</v>
      </c>
      <c r="Q42" s="22" t="s">
        <v>148</v>
      </c>
      <c r="R42" s="23" t="n">
        <f aca="false">P42*INDEX(MarkupVals,MATCH(Q42,MarkupCodes,0))</f>
        <v>0</v>
      </c>
      <c r="S42" s="24" t="n">
        <f aca="false">G42*R42</f>
        <v>0</v>
      </c>
      <c r="T42" s="25"/>
      <c r="U42" s="26" t="s">
        <v>263</v>
      </c>
    </row>
    <row r="43" customFormat="false" ht="15" hidden="false" customHeight="false" outlineLevel="0" collapsed="false">
      <c r="A43" s="18" t="n">
        <v>39</v>
      </c>
      <c r="B43" s="18" t="s">
        <v>241</v>
      </c>
      <c r="C43" s="18" t="s">
        <v>264</v>
      </c>
      <c r="D43" s="18" t="s">
        <v>261</v>
      </c>
      <c r="E43" s="18" t="s">
        <v>146</v>
      </c>
      <c r="F43" s="19" t="s">
        <v>262</v>
      </c>
      <c r="G43" s="20" t="n">
        <f aca="false">ROUNDUP(p_Kitchen_New_Flooring_Area/20,0) + ROUNDUP(p_Kitchen_New_Flooring_Area/10000,0)</f>
        <v>10</v>
      </c>
      <c r="H43" s="21" t="n">
        <v>0</v>
      </c>
      <c r="I43" s="22" t="s">
        <v>148</v>
      </c>
      <c r="J43" s="23" t="n">
        <f aca="false">H43*INDEX(MarkupVals,MATCH(I43,MarkupCodes,0))</f>
        <v>0</v>
      </c>
      <c r="K43" s="24" t="n">
        <f aca="false">G43*J43</f>
        <v>0</v>
      </c>
      <c r="L43" s="23" t="n">
        <f aca="false">LaborCost</f>
        <v>55</v>
      </c>
      <c r="M43" s="22" t="s">
        <v>148</v>
      </c>
      <c r="N43" s="23" t="n">
        <f aca="false">L43*INDEX(MarkupVals,MATCH(M43,MarkupCodes,0))</f>
        <v>100</v>
      </c>
      <c r="O43" s="24" t="n">
        <f aca="false">G43*N43</f>
        <v>1000</v>
      </c>
      <c r="P43" s="21" t="n">
        <v>0</v>
      </c>
      <c r="Q43" s="22" t="s">
        <v>148</v>
      </c>
      <c r="R43" s="23" t="n">
        <f aca="false">P43*INDEX(MarkupVals,MATCH(Q43,MarkupCodes,0))</f>
        <v>0</v>
      </c>
      <c r="S43" s="24" t="n">
        <f aca="false">G43*R43</f>
        <v>0</v>
      </c>
      <c r="T43" s="25"/>
      <c r="U43" s="26" t="s">
        <v>263</v>
      </c>
    </row>
    <row r="44" customFormat="false" ht="15" hidden="false" customHeight="false" outlineLevel="0" collapsed="false">
      <c r="A44" s="18" t="n">
        <v>40</v>
      </c>
      <c r="B44" s="18" t="s">
        <v>232</v>
      </c>
      <c r="C44" s="18" t="s">
        <v>265</v>
      </c>
      <c r="D44" s="18" t="s">
        <v>189</v>
      </c>
      <c r="E44" s="18" t="s">
        <v>152</v>
      </c>
      <c r="F44" s="19" t="s">
        <v>75</v>
      </c>
      <c r="G44" s="20" t="n">
        <f aca="false">p_Kitchen_Light_Fixtures</f>
        <v>2</v>
      </c>
      <c r="H44" s="21" t="n">
        <v>80</v>
      </c>
      <c r="I44" s="22" t="s">
        <v>153</v>
      </c>
      <c r="J44" s="23" t="n">
        <f aca="false">H44*INDEX(MarkupVals,MATCH(I44,MarkupCodes,0))</f>
        <v>116</v>
      </c>
      <c r="K44" s="24" t="n">
        <f aca="false">G44*J44</f>
        <v>232</v>
      </c>
      <c r="L44" s="21" t="n">
        <v>180</v>
      </c>
      <c r="M44" s="22" t="s">
        <v>153</v>
      </c>
      <c r="N44" s="23" t="n">
        <f aca="false">L44*INDEX(MarkupVals,MATCH(M44,MarkupCodes,0))</f>
        <v>261</v>
      </c>
      <c r="O44" s="24" t="n">
        <f aca="false">G44*N44</f>
        <v>522</v>
      </c>
      <c r="P44" s="21" t="n">
        <v>350</v>
      </c>
      <c r="Q44" s="22" t="s">
        <v>153</v>
      </c>
      <c r="R44" s="23" t="n">
        <f aca="false">P44*INDEX(MarkupVals,MATCH(Q44,MarkupCodes,0))</f>
        <v>507.5</v>
      </c>
      <c r="S44" s="24" t="n">
        <f aca="false">G44*R44</f>
        <v>1015</v>
      </c>
      <c r="T44" s="25" t="s">
        <v>235</v>
      </c>
      <c r="U44" s="26"/>
    </row>
    <row r="45" customFormat="false" ht="15" hidden="false" customHeight="false" outlineLevel="0" collapsed="false">
      <c r="A45" s="18" t="n">
        <v>41</v>
      </c>
      <c r="B45" s="18" t="s">
        <v>232</v>
      </c>
      <c r="C45" s="18" t="s">
        <v>266</v>
      </c>
      <c r="D45" s="18" t="s">
        <v>189</v>
      </c>
      <c r="E45" s="18" t="s">
        <v>152</v>
      </c>
      <c r="F45" s="19" t="s">
        <v>79</v>
      </c>
      <c r="G45" s="20" t="n">
        <f aca="false">p_Kitchen_Recessed_Lights</f>
        <v>6</v>
      </c>
      <c r="H45" s="21" t="n">
        <v>25</v>
      </c>
      <c r="I45" s="22" t="s">
        <v>153</v>
      </c>
      <c r="J45" s="23" t="n">
        <f aca="false">H45*INDEX(MarkupVals,MATCH(I45,MarkupCodes,0))</f>
        <v>36.25</v>
      </c>
      <c r="K45" s="24" t="n">
        <f aca="false">G45*J45</f>
        <v>217.5</v>
      </c>
      <c r="L45" s="21" t="n">
        <v>35</v>
      </c>
      <c r="M45" s="22" t="s">
        <v>153</v>
      </c>
      <c r="N45" s="23" t="n">
        <f aca="false">L45*INDEX(MarkupVals,MATCH(M45,MarkupCodes,0))</f>
        <v>50.75</v>
      </c>
      <c r="O45" s="24" t="n">
        <f aca="false">G45*N45</f>
        <v>304.5</v>
      </c>
      <c r="P45" s="21" t="n">
        <v>60</v>
      </c>
      <c r="Q45" s="22" t="s">
        <v>153</v>
      </c>
      <c r="R45" s="23" t="n">
        <f aca="false">P45*INDEX(MarkupVals,MATCH(Q45,MarkupCodes,0))</f>
        <v>87</v>
      </c>
      <c r="S45" s="24" t="n">
        <f aca="false">G45*R45</f>
        <v>522</v>
      </c>
      <c r="T45" s="25" t="s">
        <v>235</v>
      </c>
      <c r="U45" s="26"/>
    </row>
    <row r="46" customFormat="false" ht="15" hidden="false" customHeight="false" outlineLevel="0" collapsed="false">
      <c r="A46" s="18" t="n">
        <v>42</v>
      </c>
      <c r="B46" s="18" t="s">
        <v>232</v>
      </c>
      <c r="C46" s="18" t="s">
        <v>267</v>
      </c>
      <c r="D46" s="18" t="s">
        <v>189</v>
      </c>
      <c r="E46" s="18" t="s">
        <v>139</v>
      </c>
      <c r="F46" s="19" t="s">
        <v>86</v>
      </c>
      <c r="G46" s="20" t="n">
        <f aca="false">p_Kitchen_Under_Cabinet_Lighting</f>
        <v>1</v>
      </c>
      <c r="H46" s="21" t="n">
        <v>300</v>
      </c>
      <c r="I46" s="22" t="s">
        <v>153</v>
      </c>
      <c r="J46" s="23" t="n">
        <f aca="false">H46*INDEX(MarkupVals,MATCH(I46,MarkupCodes,0))</f>
        <v>435</v>
      </c>
      <c r="K46" s="24" t="n">
        <f aca="false">G46*J46</f>
        <v>435</v>
      </c>
      <c r="L46" s="21" t="n">
        <v>500</v>
      </c>
      <c r="M46" s="22" t="s">
        <v>153</v>
      </c>
      <c r="N46" s="23" t="n">
        <f aca="false">L46*INDEX(MarkupVals,MATCH(M46,MarkupCodes,0))</f>
        <v>725</v>
      </c>
      <c r="O46" s="24" t="n">
        <f aca="false">G46*N46</f>
        <v>725</v>
      </c>
      <c r="P46" s="21" t="n">
        <v>770</v>
      </c>
      <c r="Q46" s="22" t="s">
        <v>153</v>
      </c>
      <c r="R46" s="23" t="n">
        <f aca="false">P46*INDEX(MarkupVals,MATCH(Q46,MarkupCodes,0))</f>
        <v>1116.5</v>
      </c>
      <c r="S46" s="24" t="n">
        <f aca="false">G46*R46</f>
        <v>1116.5</v>
      </c>
      <c r="T46" s="25" t="s">
        <v>235</v>
      </c>
      <c r="U46" s="26"/>
    </row>
    <row r="47" customFormat="false" ht="326.1" hidden="false" customHeight="false" outlineLevel="0" collapsed="false">
      <c r="A47" s="18" t="n">
        <v>43</v>
      </c>
      <c r="B47" s="18" t="s">
        <v>237</v>
      </c>
      <c r="C47" s="18" t="s">
        <v>268</v>
      </c>
      <c r="D47" s="18" t="s">
        <v>269</v>
      </c>
      <c r="E47" s="18" t="s">
        <v>139</v>
      </c>
      <c r="F47" s="27" t="s">
        <v>270</v>
      </c>
      <c r="G47" s="20" t="n">
        <f aca="false">p_Kitchen_Contingency_Rate/100*((1)*275.5 + (4 + 4*p_Kitchen_Full_Gut)*100 + (1)*217.5 + (2)*100 + (8 + p_Kitchen_Full_Gut*ROUNDUP(p_Kitchen_Floor_Area/15,0) + 6*p_Kitchen_Walls_Moved)*100 + (p_Kitchen_Dumpster_Loads)*450 + (2 + 2*p_Kitchen_Full_Gut)*100 + (p_Kitchen_Travel_Hours)*100 + (p_Kitchen_Full_Gut + 3*p_Kitchen_Walls_Moved + ROUNDUP(p_Kitchen_Subfloor_Repair_Area/32,0))*217.5 + (4*p_Kitchen_Full_Gut + 8*p_Kitchen_Walls_Moved + ROUNDUP(p_Kitchen_Subfloor_Repair_Area/8,0))*100 + (1 + p_Kitchen_Fixtures_Replaced + 5*p_Kitchen_Fixtures_Relocated)*145 + (3 + ROUND(2.5*p_Kitchen_Fixtures_Replaced,0) + 4*p_Kitchen_Fixtures_Relocated)*100 + (p_Kitchen_HVAC_Work)*145 + (2*p_Kitchen_HVAC_Work)*100 + (p_Kitchen_Floor_Area)*3.7845 + (4 + p_Kitchen_Light_Fixtures + p_Kitchen_Recessed_Lights + 3*p_Kitchen_Circuits_Added + 3*p_Kitchen_Under_Cabinet_Lighting)*100 + (1 + p_Kitchen_Full_Gut*ROUNDUP(p_Kitchen_Floor_Area/10,0))*33.35 + (6 + p_Kitchen_Full_Gut*ROUNDUP(p_Kitchen_Floor_Area/15,0))*100 + (1 + p_Kitchen_Full_Gut)*166.75 + (3 + ROUNDUP(p_Kitchen_Floor_Area/20,0))*100 + (p_Kitchen_New_Flooring_Area)*1.0875 + (ROUNDUP(2.5*p_Kitchen_Cabinet_Run,0))*14.5 + (2*p_Kitchen_Appliances_Installed)*100 + (p_Kitchen_Interior_Doors)*580 + (p_Kitchen_Exterior_Doors)*1783.5 + (3*p_Kitchen_Interior_Doors + 8*p_Kitchen_Exterior_Doors)*100 + (1 + p_Kitchen_Full_Gut*ROUNDUP(p_Kitchen_Floor_Area/10,0))*29 + (2 + p_Kitchen_Full_Gut*ROUNDUP(p_Kitchen_Floor_Area/12,0) + p_Kitchen_Interior_Doors + 2*p_Kitchen_Exterior_Doors)*100 + (p_Kitchen_Cabinet_Run)*580 + (4 + ROUNDUP(1.1*p_Kitchen_Cabinet_Run,0))*100 + (2*p_Kitchen_Cabinet_Run + ROUNDUP(1.5*p_Kitchen_Island_Length,0))*33.35 + (p_Kitchen_Backsplash*ROUNDUP(1.5*(p_Kitchen_Cabinet_Run - p_Kitchen_Island_Length),0))*26 + (1)*435 + (p_Kitchen_Appliances_Supplied)*1015 + (p_Kitchen_New_Flooring_Area)*5.8 + (ROUNDUP(p_Kitchen_New_Flooring_Area/20,0) + ROUNDUP(p_Kitchen_New_Flooring_Area/10000,0))*100 + (p_Kitchen_Light_Fixtures)*116 + (p_Kitchen_Recessed_Lights)*36.25 + (p_Kitchen_Under_Cabinet_Lighting)*435)</f>
        <v>3359.2768</v>
      </c>
      <c r="H47" s="21" t="n">
        <v>1</v>
      </c>
      <c r="I47" s="22" t="s">
        <v>271</v>
      </c>
      <c r="J47" s="23" t="n">
        <f aca="false">H47*INDEX(MarkupVals,MATCH(I47,MarkupCodes,0))</f>
        <v>1</v>
      </c>
      <c r="K47" s="24" t="n">
        <f aca="false">G47*J47</f>
        <v>3359.2768</v>
      </c>
      <c r="L47" s="21" t="n">
        <v>0</v>
      </c>
      <c r="M47" s="22" t="s">
        <v>271</v>
      </c>
      <c r="N47" s="23" t="n">
        <f aca="false">L47*INDEX(MarkupVals,MATCH(M47,MarkupCodes,0))</f>
        <v>0</v>
      </c>
      <c r="O47" s="24" t="n">
        <f aca="false">G47*N47</f>
        <v>0</v>
      </c>
      <c r="P47" s="21" t="n">
        <v>0</v>
      </c>
      <c r="Q47" s="22" t="s">
        <v>271</v>
      </c>
      <c r="R47" s="23" t="n">
        <f aca="false">P47*INDEX(MarkupVals,MATCH(Q47,MarkupCodes,0))</f>
        <v>0</v>
      </c>
      <c r="S47" s="24" t="n">
        <f aca="false">G47*R47</f>
        <v>0</v>
      </c>
      <c r="T47" s="25"/>
      <c r="U47" s="26" t="s">
        <v>272</v>
      </c>
    </row>
    <row r="48" customFormat="false" ht="326.1" hidden="false" customHeight="false" outlineLevel="0" collapsed="false">
      <c r="A48" s="18" t="n">
        <v>44</v>
      </c>
      <c r="B48" s="18" t="s">
        <v>241</v>
      </c>
      <c r="C48" s="18" t="s">
        <v>273</v>
      </c>
      <c r="D48" s="18" t="s">
        <v>269</v>
      </c>
      <c r="E48" s="18" t="s">
        <v>139</v>
      </c>
      <c r="F48" s="27" t="s">
        <v>274</v>
      </c>
      <c r="G48" s="20" t="n">
        <f aca="false">p_Kitchen_Contingency_Rate/100*((1)*275.5 + (4 + 4*p_Kitchen_Full_Gut)*100 + (1)*217.5 + (2)*100 + (8 + p_Kitchen_Full_Gut*ROUNDUP(p_Kitchen_Floor_Area/15,0) + 6*p_Kitchen_Walls_Moved)*100 + (p_Kitchen_Dumpster_Loads)*450 + (2 + 2*p_Kitchen_Full_Gut)*100 + (p_Kitchen_Travel_Hours)*100 + (p_Kitchen_Full_Gut + 3*p_Kitchen_Walls_Moved + ROUNDUP(p_Kitchen_Subfloor_Repair_Area/32,0))*217.5 + (4*p_Kitchen_Full_Gut + 8*p_Kitchen_Walls_Moved + ROUNDUP(p_Kitchen_Subfloor_Repair_Area/8,0))*100 + (1 + p_Kitchen_Fixtures_Replaced + 5*p_Kitchen_Fixtures_Relocated)*145 + (3 + ROUND(2.5*p_Kitchen_Fixtures_Replaced,0) + 4*p_Kitchen_Fixtures_Relocated)*100 + (p_Kitchen_HVAC_Work)*145 + (2*p_Kitchen_HVAC_Work)*100 + (p_Kitchen_Floor_Area)*3.7845 + (4 + p_Kitchen_Light_Fixtures + p_Kitchen_Recessed_Lights + 3*p_Kitchen_Circuits_Added + 3*p_Kitchen_Under_Cabinet_Lighting)*100 + (1 + p_Kitchen_Full_Gut*ROUNDUP(p_Kitchen_Floor_Area/10,0))*33.35 + (6 + p_Kitchen_Full_Gut*ROUNDUP(p_Kitchen_Floor_Area/15,0))*100 + (1 + p_Kitchen_Full_Gut)*166.75 + (3 + ROUNDUP(p_Kitchen_Floor_Area/20,0))*100 + (p_Kitchen_New_Flooring_Area)*1.0875 + (ROUNDUP(2.5*p_Kitchen_Cabinet_Run,0))*14.5 + (2*p_Kitchen_Appliances_Installed)*100 + (p_Kitchen_Interior_Doors)*580 + (p_Kitchen_Exterior_Doors)*1783.5 + (3*p_Kitchen_Interior_Doors + 8*p_Kitchen_Exterior_Doors)*100 + (1 + p_Kitchen_Full_Gut*ROUNDUP(p_Kitchen_Floor_Area/10,0))*29 + (2 + p_Kitchen_Full_Gut*ROUNDUP(p_Kitchen_Floor_Area/12,0) + p_Kitchen_Interior_Doors + 2*p_Kitchen_Exterior_Doors)*100 + (p_Kitchen_Cabinet_Run)*870 + (4 + ROUNDUP(1.3*p_Kitchen_Cabinet_Run,0))*100 + (2*p_Kitchen_Cabinet_Run + ROUNDUP(1.5*p_Kitchen_Island_Length,0))*104 + (p_Kitchen_Backsplash*ROUNDUP(1.5*(p_Kitchen_Cabinet_Run - p_Kitchen_Island_Length),0))*45.5 + (1)*870 + (p_Kitchen_Appliances_Supplied)*2030 + (p_Kitchen_New_Flooring_Area)*7.25 + (ROUNDUP(p_Kitchen_New_Flooring_Area/20,0) + ROUNDUP(p_Kitchen_New_Flooring_Area/10000,0))*100 + (p_Kitchen_Light_Fixtures)*261 + (p_Kitchen_Recessed_Lights)*50.75 + (p_Kitchen_Under_Cabinet_Lighting)*725)</f>
        <v>4503.0888</v>
      </c>
      <c r="H48" s="21" t="n">
        <v>0</v>
      </c>
      <c r="I48" s="22" t="s">
        <v>271</v>
      </c>
      <c r="J48" s="23" t="n">
        <f aca="false">H48*INDEX(MarkupVals,MATCH(I48,MarkupCodes,0))</f>
        <v>0</v>
      </c>
      <c r="K48" s="24" t="n">
        <f aca="false">G48*J48</f>
        <v>0</v>
      </c>
      <c r="L48" s="21" t="n">
        <v>1</v>
      </c>
      <c r="M48" s="22" t="s">
        <v>271</v>
      </c>
      <c r="N48" s="23" t="n">
        <f aca="false">L48*INDEX(MarkupVals,MATCH(M48,MarkupCodes,0))</f>
        <v>1</v>
      </c>
      <c r="O48" s="24" t="n">
        <f aca="false">G48*N48</f>
        <v>4503.0888</v>
      </c>
      <c r="P48" s="21" t="n">
        <v>0</v>
      </c>
      <c r="Q48" s="22" t="s">
        <v>271</v>
      </c>
      <c r="R48" s="23" t="n">
        <f aca="false">P48*INDEX(MarkupVals,MATCH(Q48,MarkupCodes,0))</f>
        <v>0</v>
      </c>
      <c r="S48" s="24" t="n">
        <f aca="false">G48*R48</f>
        <v>0</v>
      </c>
      <c r="T48" s="25"/>
      <c r="U48" s="26" t="s">
        <v>272</v>
      </c>
    </row>
    <row r="49" customFormat="false" ht="315.65" hidden="false" customHeight="false" outlineLevel="0" collapsed="false">
      <c r="A49" s="18" t="n">
        <v>45</v>
      </c>
      <c r="B49" s="18" t="s">
        <v>244</v>
      </c>
      <c r="C49" s="18" t="s">
        <v>275</v>
      </c>
      <c r="D49" s="18" t="s">
        <v>269</v>
      </c>
      <c r="E49" s="18" t="s">
        <v>139</v>
      </c>
      <c r="F49" s="27" t="s">
        <v>276</v>
      </c>
      <c r="G49" s="20" t="n">
        <f aca="false">p_Kitchen_Contingency_Rate/100*((1)*275.5 + (4 + 4*p_Kitchen_Full_Gut)*100 + (1)*217.5 + (2)*100 + (8 + p_Kitchen_Full_Gut*ROUNDUP(p_Kitchen_Floor_Area/15,0) + 6*p_Kitchen_Walls_Moved)*100 + (p_Kitchen_Dumpster_Loads)*450 + (2 + 2*p_Kitchen_Full_Gut)*100 + (p_Kitchen_Travel_Hours)*100 + (p_Kitchen_Full_Gut + 3*p_Kitchen_Walls_Moved + ROUNDUP(p_Kitchen_Subfloor_Repair_Area/32,0))*217.5 + (4*p_Kitchen_Full_Gut + 8*p_Kitchen_Walls_Moved + ROUNDUP(p_Kitchen_Subfloor_Repair_Area/8,0))*100 + (1 + p_Kitchen_Fixtures_Replaced + 5*p_Kitchen_Fixtures_Relocated)*145 + (3 + ROUND(2.5*p_Kitchen_Fixtures_Replaced,0) + 4*p_Kitchen_Fixtures_Relocated)*100 + (p_Kitchen_HVAC_Work)*145 + (2*p_Kitchen_HVAC_Work)*100 + (p_Kitchen_Floor_Area)*3.7845 + (4 + p_Kitchen_Light_Fixtures + p_Kitchen_Recessed_Lights + 3*p_Kitchen_Circuits_Added + 3*p_Kitchen_Under_Cabinet_Lighting)*100 + (1 + p_Kitchen_Full_Gut*ROUNDUP(p_Kitchen_Floor_Area/10,0))*33.35 + (6 + p_Kitchen_Full_Gut*ROUNDUP(p_Kitchen_Floor_Area/15,0))*100 + (1 + p_Kitchen_Full_Gut)*166.75 + (3 + ROUNDUP(p_Kitchen_Floor_Area/20,0))*100 + (p_Kitchen_New_Flooring_Area)*1.0875 + (ROUNDUP(2.5*p_Kitchen_Cabinet_Run,0))*14.5 + (2*p_Kitchen_Appliances_Installed)*100 + (p_Kitchen_Interior_Doors)*580 + (p_Kitchen_Exterior_Doors)*1783.5 + (3*p_Kitchen_Interior_Doors + 8*p_Kitchen_Exterior_Doors)*100 + (1 + p_Kitchen_Full_Gut*ROUNDUP(p_Kitchen_Floor_Area/10,0))*29 + (2 + p_Kitchen_Full_Gut*ROUNDUP(p_Kitchen_Floor_Area/12,0) + p_Kitchen_Interior_Doors + 2*p_Kitchen_Exterior_Doors)*100 + (p_Kitchen_Cabinet_Run)*1305 + (4 + ROUNDUP(1.5*p_Kitchen_Cabinet_Run,0))*100 + (2*p_Kitchen_Cabinet_Run + ROUNDUP(1.5*p_Kitchen_Island_Length,0))*159.9 + (p_Kitchen_Backsplash*ROUNDUP(1.5*(p_Kitchen_Cabinet_Run - p_Kitchen_Island_Length),0))*156 + (1)*1450 + (p_Kitchen_Appliances_Supplied)*3335 + (p_Kitchen_New_Flooring_Area)*19.5 + (p_Kitchen_Light_Fixtures)*507.5 + (p_Kitchen_Recessed_Lights)*87 + (p_Kitchen_Under_Cabinet_Lighting)*1116.5)</f>
        <v>6216.8408</v>
      </c>
      <c r="H49" s="21" t="n">
        <v>0</v>
      </c>
      <c r="I49" s="22" t="s">
        <v>271</v>
      </c>
      <c r="J49" s="23" t="n">
        <f aca="false">H49*INDEX(MarkupVals,MATCH(I49,MarkupCodes,0))</f>
        <v>0</v>
      </c>
      <c r="K49" s="24" t="n">
        <f aca="false">G49*J49</f>
        <v>0</v>
      </c>
      <c r="L49" s="21" t="n">
        <v>0</v>
      </c>
      <c r="M49" s="22" t="s">
        <v>271</v>
      </c>
      <c r="N49" s="23" t="n">
        <f aca="false">L49*INDEX(MarkupVals,MATCH(M49,MarkupCodes,0))</f>
        <v>0</v>
      </c>
      <c r="O49" s="24" t="n">
        <f aca="false">G49*N49</f>
        <v>0</v>
      </c>
      <c r="P49" s="21" t="n">
        <v>1</v>
      </c>
      <c r="Q49" s="22" t="s">
        <v>271</v>
      </c>
      <c r="R49" s="23" t="n">
        <f aca="false">P49*INDEX(MarkupVals,MATCH(Q49,MarkupCodes,0))</f>
        <v>1</v>
      </c>
      <c r="S49" s="24" t="n">
        <f aca="false">G49*R49</f>
        <v>6216.8408</v>
      </c>
      <c r="T49" s="25"/>
      <c r="U49" s="26" t="s">
        <v>272</v>
      </c>
    </row>
    <row r="50" customFormat="false" ht="15" hidden="false" customHeight="false" outlineLevel="0" collapsed="false">
      <c r="A50" s="6"/>
      <c r="B50" s="6"/>
      <c r="C50" s="15" t="s">
        <v>277</v>
      </c>
      <c r="D50" s="6"/>
      <c r="E50" s="6"/>
      <c r="F50" s="6"/>
      <c r="G50" s="6"/>
      <c r="H50" s="6"/>
      <c r="I50" s="6"/>
      <c r="J50" s="6"/>
      <c r="K50" s="16" t="n">
        <f aca="false">SUM(K5:K49)</f>
        <v>45350.2368</v>
      </c>
      <c r="L50" s="6"/>
      <c r="M50" s="6"/>
      <c r="N50" s="6"/>
      <c r="O50" s="16" t="n">
        <f aca="false">SUM(O5:O49)</f>
        <v>60791.6988</v>
      </c>
      <c r="P50" s="6"/>
      <c r="Q50" s="6"/>
      <c r="R50" s="6"/>
      <c r="S50" s="16" t="n">
        <f aca="false">SUM(S5:S49)</f>
        <v>83927.3508</v>
      </c>
      <c r="T50" s="6"/>
      <c r="U5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5" t="s">
        <v>278</v>
      </c>
      <c r="B1" s="6"/>
      <c r="C1" s="6"/>
      <c r="D1" s="6"/>
      <c r="E1" s="6"/>
    </row>
    <row r="2" customFormat="false" ht="15" hidden="false" customHeight="false" outlineLevel="0" collapsed="false">
      <c r="A2" s="7" t="s">
        <v>279</v>
      </c>
      <c r="B2" s="6"/>
      <c r="C2" s="6"/>
      <c r="D2" s="6"/>
      <c r="E2" s="6"/>
    </row>
    <row r="3" customFormat="false" ht="15" hidden="false" customHeight="false" outlineLevel="0" collapsed="false">
      <c r="A3" s="6"/>
      <c r="B3" s="6"/>
      <c r="C3" s="6"/>
      <c r="D3" s="6"/>
      <c r="E3" s="6"/>
    </row>
    <row r="4" customFormat="false" ht="15" hidden="false" customHeight="false" outlineLevel="0" collapsed="false">
      <c r="A4" s="8" t="s">
        <v>280</v>
      </c>
      <c r="B4" s="8" t="s">
        <v>281</v>
      </c>
      <c r="C4" s="8" t="s">
        <v>282</v>
      </c>
      <c r="D4" s="8" t="s">
        <v>283</v>
      </c>
      <c r="E4" s="8" t="s">
        <v>284</v>
      </c>
    </row>
    <row r="5" customFormat="false" ht="15" hidden="false" customHeight="false" outlineLevel="0" collapsed="false">
      <c r="A5" s="27" t="s">
        <v>34</v>
      </c>
      <c r="B5" s="28" t="s">
        <v>285</v>
      </c>
      <c r="C5" s="28" t="n">
        <v>180</v>
      </c>
      <c r="D5" s="28" t="s">
        <v>35</v>
      </c>
      <c r="E5" s="28" t="s">
        <v>286</v>
      </c>
    </row>
    <row r="6" customFormat="false" ht="23.85" hidden="false" customHeight="false" outlineLevel="0" collapsed="false">
      <c r="A6" s="27" t="s">
        <v>38</v>
      </c>
      <c r="B6" s="28" t="s">
        <v>285</v>
      </c>
      <c r="C6" s="28" t="n">
        <v>1</v>
      </c>
      <c r="D6" s="28" t="s">
        <v>39</v>
      </c>
      <c r="E6" s="28" t="s">
        <v>287</v>
      </c>
    </row>
    <row r="7" customFormat="false" ht="23.85" hidden="false" customHeight="false" outlineLevel="0" collapsed="false">
      <c r="A7" s="27" t="s">
        <v>42</v>
      </c>
      <c r="B7" s="28" t="s">
        <v>285</v>
      </c>
      <c r="C7" s="28" t="n">
        <v>24</v>
      </c>
      <c r="D7" s="28" t="s">
        <v>43</v>
      </c>
      <c r="E7" s="28" t="s">
        <v>288</v>
      </c>
    </row>
    <row r="8" customFormat="false" ht="15" hidden="false" customHeight="false" outlineLevel="0" collapsed="false">
      <c r="A8" s="27" t="s">
        <v>46</v>
      </c>
      <c r="B8" s="28" t="s">
        <v>285</v>
      </c>
      <c r="C8" s="28" t="n">
        <v>0</v>
      </c>
      <c r="D8" s="28" t="s">
        <v>47</v>
      </c>
      <c r="E8" s="28" t="s">
        <v>289</v>
      </c>
    </row>
    <row r="9" customFormat="false" ht="15" hidden="false" customHeight="false" outlineLevel="0" collapsed="false">
      <c r="A9" s="27" t="s">
        <v>50</v>
      </c>
      <c r="B9" s="28" t="s">
        <v>285</v>
      </c>
      <c r="C9" s="28" t="n">
        <v>1</v>
      </c>
      <c r="D9" s="28" t="s">
        <v>51</v>
      </c>
      <c r="E9" s="28" t="s">
        <v>251</v>
      </c>
    </row>
    <row r="10" customFormat="false" ht="15" hidden="false" customHeight="false" outlineLevel="0" collapsed="false">
      <c r="A10" s="27" t="s">
        <v>54</v>
      </c>
      <c r="B10" s="28" t="s">
        <v>285</v>
      </c>
      <c r="C10" s="28" t="n">
        <v>0</v>
      </c>
      <c r="D10" s="28" t="s">
        <v>55</v>
      </c>
      <c r="E10" s="28" t="s">
        <v>256</v>
      </c>
    </row>
    <row r="11" customFormat="false" ht="15" hidden="false" customHeight="false" outlineLevel="0" collapsed="false">
      <c r="A11" s="27" t="s">
        <v>58</v>
      </c>
      <c r="B11" s="28" t="s">
        <v>285</v>
      </c>
      <c r="C11" s="28" t="n">
        <v>4</v>
      </c>
      <c r="D11" s="28" t="s">
        <v>59</v>
      </c>
      <c r="E11" s="28" t="s">
        <v>215</v>
      </c>
    </row>
    <row r="12" customFormat="false" ht="15" hidden="false" customHeight="false" outlineLevel="0" collapsed="false">
      <c r="A12" s="27" t="s">
        <v>62</v>
      </c>
      <c r="B12" s="28" t="s">
        <v>285</v>
      </c>
      <c r="C12" s="28" t="n">
        <v>2</v>
      </c>
      <c r="D12" s="28" t="s">
        <v>63</v>
      </c>
      <c r="E12" s="28" t="s">
        <v>290</v>
      </c>
    </row>
    <row r="13" customFormat="false" ht="15" hidden="false" customHeight="false" outlineLevel="0" collapsed="false">
      <c r="A13" s="27" t="s">
        <v>66</v>
      </c>
      <c r="B13" s="28" t="s">
        <v>285</v>
      </c>
      <c r="C13" s="28" t="n">
        <v>0</v>
      </c>
      <c r="D13" s="28" t="s">
        <v>67</v>
      </c>
      <c r="E13" s="28" t="s">
        <v>290</v>
      </c>
    </row>
    <row r="14" customFormat="false" ht="15" hidden="false" customHeight="false" outlineLevel="0" collapsed="false">
      <c r="A14" s="27" t="s">
        <v>69</v>
      </c>
      <c r="B14" s="28" t="s">
        <v>285</v>
      </c>
      <c r="C14" s="28" t="n">
        <v>0</v>
      </c>
      <c r="D14" s="28" t="s">
        <v>70</v>
      </c>
      <c r="E14" s="28" t="s">
        <v>291</v>
      </c>
    </row>
    <row r="15" customFormat="false" ht="15" hidden="false" customHeight="false" outlineLevel="0" collapsed="false">
      <c r="A15" s="27" t="s">
        <v>73</v>
      </c>
      <c r="B15" s="28" t="s">
        <v>285</v>
      </c>
      <c r="C15" s="28" t="n">
        <v>1</v>
      </c>
      <c r="D15" s="28" t="s">
        <v>74</v>
      </c>
      <c r="E15" s="28" t="s">
        <v>292</v>
      </c>
    </row>
    <row r="16" customFormat="false" ht="15" hidden="false" customHeight="false" outlineLevel="0" collapsed="false">
      <c r="A16" s="27" t="s">
        <v>77</v>
      </c>
      <c r="B16" s="28" t="s">
        <v>285</v>
      </c>
      <c r="C16" s="28" t="n">
        <v>4</v>
      </c>
      <c r="D16" s="28" t="s">
        <v>78</v>
      </c>
      <c r="E16" s="28" t="s">
        <v>293</v>
      </c>
    </row>
    <row r="17" customFormat="false" ht="15" hidden="false" customHeight="false" outlineLevel="0" collapsed="false">
      <c r="A17" s="27" t="s">
        <v>81</v>
      </c>
      <c r="B17" s="28" t="s">
        <v>285</v>
      </c>
      <c r="C17" s="28" t="n">
        <v>2</v>
      </c>
      <c r="D17" s="28" t="s">
        <v>82</v>
      </c>
      <c r="E17" s="28" t="s">
        <v>192</v>
      </c>
    </row>
    <row r="18" customFormat="false" ht="15" hidden="false" customHeight="false" outlineLevel="0" collapsed="false">
      <c r="A18" s="27" t="s">
        <v>84</v>
      </c>
      <c r="B18" s="28" t="s">
        <v>285</v>
      </c>
      <c r="C18" s="28" t="n">
        <v>0</v>
      </c>
      <c r="D18" s="28" t="s">
        <v>85</v>
      </c>
      <c r="E18" s="28" t="s">
        <v>294</v>
      </c>
    </row>
    <row r="19" customFormat="false" ht="15" hidden="false" customHeight="false" outlineLevel="0" collapsed="false">
      <c r="A19" s="27" t="s">
        <v>88</v>
      </c>
      <c r="B19" s="28" t="s">
        <v>285</v>
      </c>
      <c r="C19" s="28" t="n">
        <v>0</v>
      </c>
      <c r="D19" s="28" t="s">
        <v>89</v>
      </c>
      <c r="E19" s="28" t="s">
        <v>295</v>
      </c>
    </row>
    <row r="20" customFormat="false" ht="15" hidden="false" customHeight="false" outlineLevel="0" collapsed="false">
      <c r="A20" s="27" t="s">
        <v>92</v>
      </c>
      <c r="B20" s="28" t="s">
        <v>285</v>
      </c>
      <c r="C20" s="28" t="n">
        <v>0</v>
      </c>
      <c r="D20" s="28" t="s">
        <v>93</v>
      </c>
      <c r="E20" s="28" t="s">
        <v>296</v>
      </c>
    </row>
    <row r="21" customFormat="false" ht="15" hidden="false" customHeight="false" outlineLevel="0" collapsed="false">
      <c r="A21" s="27" t="s">
        <v>95</v>
      </c>
      <c r="B21" s="28" t="s">
        <v>285</v>
      </c>
      <c r="C21" s="28" t="n">
        <v>0</v>
      </c>
      <c r="D21" s="28" t="s">
        <v>96</v>
      </c>
      <c r="E21" s="28" t="s">
        <v>297</v>
      </c>
    </row>
    <row r="22" customFormat="false" ht="15" hidden="false" customHeight="false" outlineLevel="0" collapsed="false">
      <c r="A22" s="27" t="s">
        <v>98</v>
      </c>
      <c r="B22" s="28" t="s">
        <v>285</v>
      </c>
      <c r="C22" s="28" t="n">
        <v>0</v>
      </c>
      <c r="D22" s="28" t="s">
        <v>99</v>
      </c>
      <c r="E22" s="28" t="s">
        <v>298</v>
      </c>
    </row>
    <row r="23" customFormat="false" ht="15" hidden="false" customHeight="false" outlineLevel="0" collapsed="false">
      <c r="A23" s="27" t="s">
        <v>101</v>
      </c>
      <c r="B23" s="28" t="s">
        <v>285</v>
      </c>
      <c r="C23" s="28" t="n">
        <v>0</v>
      </c>
      <c r="D23" s="28" t="s">
        <v>102</v>
      </c>
      <c r="E23" s="28" t="s">
        <v>299</v>
      </c>
    </row>
    <row r="24" customFormat="false" ht="15" hidden="false" customHeight="false" outlineLevel="0" collapsed="false">
      <c r="A24" s="27" t="s">
        <v>104</v>
      </c>
      <c r="B24" s="28" t="s">
        <v>285</v>
      </c>
      <c r="C24" s="28" t="n">
        <v>1</v>
      </c>
      <c r="D24" s="28" t="s">
        <v>105</v>
      </c>
      <c r="E24" s="28" t="s">
        <v>162</v>
      </c>
    </row>
    <row r="25" customFormat="false" ht="15" hidden="false" customHeight="false" outlineLevel="0" collapsed="false">
      <c r="A25" s="27" t="s">
        <v>107</v>
      </c>
      <c r="B25" s="28" t="s">
        <v>285</v>
      </c>
      <c r="C25" s="28" t="n">
        <v>0</v>
      </c>
      <c r="D25" s="28" t="s">
        <v>108</v>
      </c>
      <c r="E25" s="28" t="s">
        <v>168</v>
      </c>
    </row>
    <row r="26" customFormat="false" ht="23.85" hidden="false" customHeight="false" outlineLevel="0" collapsed="false">
      <c r="A26" s="27" t="s">
        <v>110</v>
      </c>
      <c r="B26" s="28" t="s">
        <v>285</v>
      </c>
      <c r="C26" s="28" t="n">
        <v>8</v>
      </c>
      <c r="D26" s="28" t="s">
        <v>111</v>
      </c>
      <c r="E26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300</v>
      </c>
      <c r="B1" s="6"/>
      <c r="C1" s="6"/>
      <c r="D1" s="6"/>
    </row>
    <row r="2" customFormat="false" ht="15" hidden="false" customHeight="false" outlineLevel="0" collapsed="false">
      <c r="A2" s="6"/>
      <c r="B2" s="6"/>
      <c r="C2" s="6"/>
      <c r="D2" s="6"/>
    </row>
    <row r="3" customFormat="false" ht="15" hidden="false" customHeight="false" outlineLevel="0" collapsed="false">
      <c r="A3" s="8" t="s">
        <v>301</v>
      </c>
      <c r="B3" s="8" t="s">
        <v>302</v>
      </c>
      <c r="C3" s="8" t="s">
        <v>303</v>
      </c>
      <c r="D3" s="8" t="s">
        <v>135</v>
      </c>
    </row>
    <row r="4" customFormat="false" ht="15" hidden="false" customHeight="false" outlineLevel="0" collapsed="false">
      <c r="A4" s="18" t="s">
        <v>148</v>
      </c>
      <c r="B4" s="18" t="s">
        <v>304</v>
      </c>
      <c r="C4" s="29" t="n">
        <f aca="false">C12/C11</f>
        <v>1.81818181818182</v>
      </c>
      <c r="D4" s="26" t="s">
        <v>305</v>
      </c>
    </row>
    <row r="5" customFormat="false" ht="15" hidden="false" customHeight="false" outlineLevel="0" collapsed="false">
      <c r="A5" s="18" t="s">
        <v>153</v>
      </c>
      <c r="B5" s="18" t="s">
        <v>306</v>
      </c>
      <c r="C5" s="30" t="n">
        <v>1.45</v>
      </c>
      <c r="D5" s="26" t="s">
        <v>307</v>
      </c>
    </row>
    <row r="6" customFormat="false" ht="15" hidden="false" customHeight="false" outlineLevel="0" collapsed="false">
      <c r="A6" s="18" t="s">
        <v>249</v>
      </c>
      <c r="B6" s="18" t="s">
        <v>308</v>
      </c>
      <c r="C6" s="30" t="n">
        <v>1.3</v>
      </c>
      <c r="D6" s="26" t="s">
        <v>309</v>
      </c>
    </row>
    <row r="7" customFormat="false" ht="15" hidden="false" customHeight="false" outlineLevel="0" collapsed="false">
      <c r="A7" s="18" t="s">
        <v>141</v>
      </c>
      <c r="B7" s="18" t="s">
        <v>310</v>
      </c>
      <c r="C7" s="30" t="n">
        <v>1.45</v>
      </c>
      <c r="D7" s="26" t="s">
        <v>311</v>
      </c>
    </row>
    <row r="8" customFormat="false" ht="15" hidden="false" customHeight="false" outlineLevel="0" collapsed="false">
      <c r="A8" s="18" t="s">
        <v>312</v>
      </c>
      <c r="B8" s="18" t="s">
        <v>313</v>
      </c>
      <c r="C8" s="30" t="n">
        <v>1.45</v>
      </c>
      <c r="D8" s="26" t="s">
        <v>314</v>
      </c>
    </row>
    <row r="9" customFormat="false" ht="15" hidden="false" customHeight="false" outlineLevel="0" collapsed="false">
      <c r="A9" s="18" t="s">
        <v>271</v>
      </c>
      <c r="B9" s="18" t="s">
        <v>269</v>
      </c>
      <c r="C9" s="30" t="n">
        <v>1</v>
      </c>
      <c r="D9" s="26" t="s">
        <v>315</v>
      </c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6" t="s">
        <v>316</v>
      </c>
      <c r="B11" s="6"/>
      <c r="C11" s="31" t="n">
        <v>55</v>
      </c>
      <c r="D11" s="7" t="s">
        <v>317</v>
      </c>
    </row>
    <row r="12" customFormat="false" ht="15" hidden="false" customHeight="false" outlineLevel="0" collapsed="false">
      <c r="A12" s="6" t="s">
        <v>318</v>
      </c>
      <c r="B12" s="6"/>
      <c r="C12" s="31" t="n">
        <v>100</v>
      </c>
      <c r="D12" s="6"/>
    </row>
    <row r="13" customFormat="false" ht="15" hidden="false" customHeight="false" outlineLevel="0" collapsed="false">
      <c r="A13" s="6"/>
      <c r="B13" s="6"/>
      <c r="C13" s="6"/>
      <c r="D13" s="6"/>
    </row>
    <row r="14" customFormat="false" ht="15" hidden="false" customHeight="false" outlineLevel="0" collapsed="false">
      <c r="A14" s="6" t="s">
        <v>319</v>
      </c>
      <c r="B14" s="6"/>
      <c r="C14" s="32" t="n">
        <v>0.2</v>
      </c>
      <c r="D14" s="7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5" t="s">
        <v>321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customFormat="false" ht="15" hidden="false" customHeight="false" outlineLevel="0" collapsed="false">
      <c r="A2" s="7" t="s">
        <v>322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customFormat="false" ht="15" hidden="false" customHeight="false" outlineLevel="0" collapsed="false">
      <c r="A3" s="7" t="s">
        <v>323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customFormat="false" ht="15" hidden="false" customHeight="false" outlineLevel="0" collapsed="false">
      <c r="A5" s="15" t="s">
        <v>324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customFormat="false" ht="46.25" hidden="false" customHeight="false" outlineLevel="0" collapsed="false">
      <c r="A6" s="8" t="s">
        <v>325</v>
      </c>
      <c r="B6" s="8" t="s">
        <v>326</v>
      </c>
      <c r="C6" s="8" t="s">
        <v>327</v>
      </c>
      <c r="D6" s="8" t="s">
        <v>328</v>
      </c>
      <c r="E6" s="8" t="s">
        <v>329</v>
      </c>
      <c r="F6" s="8" t="s">
        <v>330</v>
      </c>
      <c r="G6" s="8" t="s">
        <v>331</v>
      </c>
      <c r="H6" s="8" t="s">
        <v>332</v>
      </c>
      <c r="I6" s="8" t="s">
        <v>333</v>
      </c>
      <c r="J6" s="8" t="s">
        <v>334</v>
      </c>
      <c r="K6" s="8" t="s">
        <v>335</v>
      </c>
      <c r="L6" s="8" t="s">
        <v>34</v>
      </c>
      <c r="M6" s="8" t="s">
        <v>38</v>
      </c>
      <c r="N6" s="8" t="s">
        <v>42</v>
      </c>
      <c r="O6" s="8" t="s">
        <v>46</v>
      </c>
      <c r="P6" s="8" t="s">
        <v>50</v>
      </c>
      <c r="Q6" s="8" t="s">
        <v>54</v>
      </c>
      <c r="R6" s="8" t="s">
        <v>58</v>
      </c>
      <c r="S6" s="8" t="s">
        <v>62</v>
      </c>
      <c r="T6" s="8" t="s">
        <v>66</v>
      </c>
      <c r="U6" s="8" t="s">
        <v>69</v>
      </c>
      <c r="V6" s="8" t="s">
        <v>73</v>
      </c>
      <c r="W6" s="8" t="s">
        <v>77</v>
      </c>
      <c r="X6" s="8" t="s">
        <v>81</v>
      </c>
      <c r="Y6" s="8" t="s">
        <v>84</v>
      </c>
      <c r="Z6" s="8" t="s">
        <v>88</v>
      </c>
      <c r="AA6" s="8" t="s">
        <v>92</v>
      </c>
      <c r="AB6" s="8" t="s">
        <v>95</v>
      </c>
      <c r="AC6" s="8" t="s">
        <v>98</v>
      </c>
      <c r="AD6" s="8" t="s">
        <v>101</v>
      </c>
      <c r="AE6" s="8" t="s">
        <v>104</v>
      </c>
      <c r="AF6" s="8" t="s">
        <v>107</v>
      </c>
    </row>
    <row r="7" customFormat="false" ht="15" hidden="false" customHeight="false" outlineLevel="0" collapsed="false">
      <c r="A7" s="18" t="s">
        <v>336</v>
      </c>
      <c r="B7" s="18" t="s">
        <v>337</v>
      </c>
      <c r="C7" s="33" t="n">
        <v>98048.85</v>
      </c>
      <c r="D7" s="33" t="n">
        <v>52267.49</v>
      </c>
      <c r="E7" s="33" t="n">
        <v>70892.99</v>
      </c>
      <c r="F7" s="33" t="n">
        <v>97340.99</v>
      </c>
      <c r="G7" s="33" t="n">
        <v>97340.99</v>
      </c>
      <c r="H7" s="34" t="n">
        <f aca="false">(G7-C7)/C7</f>
        <v>-0.00721946254341586</v>
      </c>
      <c r="I7" s="33" t="n">
        <v>28546.6</v>
      </c>
      <c r="J7" s="33" t="n">
        <v>28454.49</v>
      </c>
      <c r="K7" s="34" t="n">
        <f aca="false">(J7-I7)/I7</f>
        <v>-0.00322665396229313</v>
      </c>
      <c r="L7" s="18" t="n">
        <v>181</v>
      </c>
      <c r="M7" s="18" t="n">
        <v>1</v>
      </c>
      <c r="N7" s="18" t="n">
        <v>34</v>
      </c>
      <c r="O7" s="18" t="n">
        <v>8</v>
      </c>
      <c r="P7" s="18" t="n">
        <v>1</v>
      </c>
      <c r="Q7" s="18" t="n">
        <v>1</v>
      </c>
      <c r="R7" s="18" t="n">
        <v>4</v>
      </c>
      <c r="S7" s="18" t="n">
        <v>2</v>
      </c>
      <c r="T7" s="18" t="n">
        <v>1</v>
      </c>
      <c r="U7" s="18" t="n">
        <v>0</v>
      </c>
      <c r="V7" s="18" t="n">
        <v>1</v>
      </c>
      <c r="W7" s="18" t="n">
        <v>4</v>
      </c>
      <c r="X7" s="18" t="n">
        <v>3</v>
      </c>
      <c r="Y7" s="18" t="n">
        <v>0</v>
      </c>
      <c r="Z7" s="18" t="n">
        <v>0</v>
      </c>
      <c r="AA7" s="18" t="n">
        <v>80</v>
      </c>
      <c r="AB7" s="18" t="n">
        <v>0</v>
      </c>
      <c r="AC7" s="18" t="n">
        <v>1</v>
      </c>
      <c r="AD7" s="18" t="n">
        <v>0</v>
      </c>
      <c r="AE7" s="18" t="n">
        <v>1</v>
      </c>
      <c r="AF7" s="18" t="n">
        <v>0</v>
      </c>
    </row>
    <row r="8" customFormat="false" ht="15" hidden="false" customHeight="false" outlineLevel="0" collapsed="false">
      <c r="A8" s="18" t="s">
        <v>338</v>
      </c>
      <c r="B8" s="18" t="s">
        <v>337</v>
      </c>
      <c r="C8" s="33" t="n">
        <v>91172.79</v>
      </c>
      <c r="D8" s="33" t="n">
        <v>57748.75</v>
      </c>
      <c r="E8" s="33" t="n">
        <v>75503.5</v>
      </c>
      <c r="F8" s="33" t="n">
        <v>102990.5</v>
      </c>
      <c r="G8" s="33" t="n">
        <v>96109</v>
      </c>
      <c r="H8" s="34" t="n">
        <f aca="false">(G8-C8)/C8</f>
        <v>0.0541412629798869</v>
      </c>
      <c r="I8" s="33" t="n">
        <v>33724.29</v>
      </c>
      <c r="J8" s="33" t="n">
        <v>33565.5</v>
      </c>
      <c r="K8" s="34" t="n">
        <f aca="false">(J8-I8)/I8</f>
        <v>-0.00470847570104518</v>
      </c>
      <c r="L8" s="18" t="n">
        <v>200</v>
      </c>
      <c r="M8" s="18" t="n">
        <v>1</v>
      </c>
      <c r="N8" s="18" t="n">
        <v>28</v>
      </c>
      <c r="O8" s="18" t="n">
        <v>6</v>
      </c>
      <c r="P8" s="18" t="n">
        <v>1</v>
      </c>
      <c r="Q8" s="18" t="n">
        <v>2</v>
      </c>
      <c r="R8" s="18" t="n">
        <v>4</v>
      </c>
      <c r="S8" s="18" t="n">
        <v>3</v>
      </c>
      <c r="T8" s="18" t="n">
        <v>1</v>
      </c>
      <c r="U8" s="18" t="n">
        <v>460</v>
      </c>
      <c r="V8" s="18" t="n">
        <v>2</v>
      </c>
      <c r="W8" s="18" t="n">
        <v>6</v>
      </c>
      <c r="X8" s="18" t="n">
        <v>4</v>
      </c>
      <c r="Y8" s="18" t="n">
        <v>1</v>
      </c>
      <c r="Z8" s="18" t="n">
        <v>2</v>
      </c>
      <c r="AA8" s="18" t="n">
        <v>0</v>
      </c>
      <c r="AB8" s="18" t="n">
        <v>1</v>
      </c>
      <c r="AC8" s="18" t="n">
        <v>0</v>
      </c>
      <c r="AD8" s="18" t="n">
        <v>0</v>
      </c>
      <c r="AE8" s="18" t="n">
        <v>3</v>
      </c>
      <c r="AF8" s="18" t="n">
        <v>0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customFormat="false" ht="15" hidden="false" customHeight="false" outlineLevel="0" collapsed="false">
      <c r="A10" s="15" t="s">
        <v>339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customFormat="false" ht="15" hidden="false" customHeight="false" outlineLevel="0" collapsed="false">
      <c r="A11" s="8" t="s">
        <v>340</v>
      </c>
      <c r="B11" s="8" t="s">
        <v>341</v>
      </c>
      <c r="C11" s="8" t="s">
        <v>342</v>
      </c>
      <c r="D11" s="8" t="s">
        <v>343</v>
      </c>
      <c r="E11" s="8" t="s">
        <v>344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customFormat="false" ht="15" hidden="false" customHeight="false" outlineLevel="0" collapsed="false">
      <c r="A12" s="18" t="s">
        <v>345</v>
      </c>
      <c r="B12" s="18" t="s">
        <v>346</v>
      </c>
      <c r="C12" s="35" t="n">
        <v>870</v>
      </c>
      <c r="D12" s="35" t="n">
        <v>870</v>
      </c>
      <c r="E12" s="36" t="n">
        <f aca="false">(D12-C12)/C12</f>
        <v>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customFormat="false" ht="15" hidden="false" customHeight="false" outlineLevel="0" collapsed="false">
      <c r="A13" s="18" t="s">
        <v>347</v>
      </c>
      <c r="B13" s="18" t="s">
        <v>348</v>
      </c>
      <c r="C13" s="35" t="n">
        <v>1178</v>
      </c>
      <c r="D13" s="35" t="n">
        <v>1305</v>
      </c>
      <c r="E13" s="36" t="n">
        <f aca="false">(D13-C13)/C13</f>
        <v>0.107809847198642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customFormat="false" ht="15" hidden="false" customHeight="false" outlineLevel="0" collapsed="false">
      <c r="A14" s="18" t="s">
        <v>349</v>
      </c>
      <c r="B14" s="18" t="s">
        <v>350</v>
      </c>
      <c r="C14" s="35" t="n">
        <v>33.75</v>
      </c>
      <c r="D14" s="35" t="n">
        <v>33.35</v>
      </c>
      <c r="E14" s="36" t="n">
        <f aca="false">(D14-C14)/C14</f>
        <v>-0.0118518518518518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customFormat="false" ht="15" hidden="false" customHeight="false" outlineLevel="0" collapsed="false">
      <c r="A15" s="18" t="s">
        <v>345</v>
      </c>
      <c r="B15" s="18" t="s">
        <v>351</v>
      </c>
      <c r="C15" s="35" t="n">
        <v>174</v>
      </c>
      <c r="D15" s="35" t="n">
        <v>159.9</v>
      </c>
      <c r="E15" s="36" t="n">
        <f aca="false">(D15-C15)/C15</f>
        <v>-0.0810344827586207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customFormat="false" ht="15" hidden="false" customHeight="false" outlineLevel="0" collapsed="false">
      <c r="A16" s="18" t="s">
        <v>347</v>
      </c>
      <c r="B16" s="18" t="s">
        <v>351</v>
      </c>
      <c r="C16" s="35" t="n">
        <v>169.34</v>
      </c>
      <c r="D16" s="35" t="n">
        <v>159.9</v>
      </c>
      <c r="E16" s="36" t="n">
        <f aca="false">(D16-C16)/C16</f>
        <v>-0.0557458367780796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customFormat="false" ht="15" hidden="false" customHeight="false" outlineLevel="0" collapsed="false">
      <c r="A17" s="18" t="s">
        <v>345</v>
      </c>
      <c r="B17" s="18" t="s">
        <v>352</v>
      </c>
      <c r="C17" s="35" t="n">
        <v>40</v>
      </c>
      <c r="D17" s="35" t="n">
        <v>41</v>
      </c>
      <c r="E17" s="36" t="n">
        <f aca="false">(D17-C17)/C17</f>
        <v>0.025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customFormat="false" ht="15" hidden="false" customHeight="false" outlineLevel="0" collapsed="false">
      <c r="A18" s="18" t="s">
        <v>347</v>
      </c>
      <c r="B18" s="18" t="s">
        <v>353</v>
      </c>
      <c r="C18" s="35" t="n">
        <v>72</v>
      </c>
      <c r="D18" s="35" t="n">
        <v>49</v>
      </c>
      <c r="E18" s="36" t="n">
        <f aca="false">(D18-C18)/C18</f>
        <v>-0.319444444444444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customFormat="false" ht="15" hidden="false" customHeight="false" outlineLevel="0" collapsed="false">
      <c r="A20" s="7" t="s">
        <v>354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customFormat="false" ht="15" hidden="false" customHeight="false" outlineLevel="0" collapsed="false">
      <c r="A21" s="7" t="s">
        <v>355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2026-09-28T01:18:26Z</dcterms:created>
  <dc:creator>openpyxl</dc:creator>
  <dc:description/>
  <dc:language>en-US</dc:language>
  <cp:lastModifiedBy/>
  <dcterms:modified xsi:type="dcterms:W3CDTF">2026-09-28T01:18:26Z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